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"/>
      <family val="2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/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/>
      <right/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/>
      <right style="medium">
        <color rgb="FFDEE0E3"/>
      </right>
      <top/>
      <bottom style="medium">
        <color rgb="FFDEE0E3"/>
      </bottom>
      <diagonal/>
    </border>
    <border>
      <left/>
      <right style="medium">
        <color rgb="FFDEE0E3"/>
      </right>
      <top/>
      <bottom/>
      <diagonal/>
    </border>
    <border>
      <left/>
      <right/>
      <top/>
      <bottom style="medium">
        <color rgb="FFDEE0E3"/>
      </bottom>
      <diagonal/>
    </border>
    <border>
      <left style="medium">
        <color rgb="FFDEE0E3"/>
      </left>
      <right/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medium">
        <color rgb="FFDEE0E3"/>
      </left>
      <right/>
      <top style="medium">
        <color rgb="FFDEE0E3"/>
      </top>
      <bottom/>
      <diagonal/>
    </border>
    <border>
      <left/>
      <right/>
      <top style="medium">
        <color rgb="FFDEE0E3"/>
      </top>
      <bottom/>
      <diagonal/>
    </border>
    <border>
      <left/>
      <right style="medium">
        <color rgb="FFDEE0E3"/>
      </right>
      <top style="medium">
        <color rgb="FFDEE0E3"/>
      </top>
      <bottom/>
      <diagonal/>
    </border>
    <border>
      <left style="medium">
        <color rgb="FFDEE0E3"/>
      </left>
      <right/>
      <top/>
      <bottom style="medium">
        <color rgb="FFDEE0E3"/>
      </bottom>
      <diagonal/>
    </border>
    <border>
      <left style="medium">
        <color rgb="FFDEE0E3"/>
      </left>
      <right/>
      <top/>
      <bottom/>
      <diagonal/>
    </border>
  </borders>
  <cellStyleXfs count="3">
    <xf numFmtId="0" fontId="0" fillId="0" borderId="0"/>
    <xf numFmtId="0" fontId="1" fillId="2" borderId="0"/>
    <xf numFmtId="0" fontId="2" fillId="3" borderId="0"/>
  </cellStyleXfs>
  <cellXfs count="65"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3" fillId="0" borderId="6" applyAlignment="1" pivotButton="0" quotePrefix="0" xfId="0">
      <alignment vertical="center" wrapText="1"/>
    </xf>
    <xf numFmtId="0" fontId="3" fillId="0" borderId="7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1" applyAlignment="1" pivotButton="0" quotePrefix="0" xfId="2">
      <alignment vertical="center" wrapText="1"/>
    </xf>
    <xf numFmtId="0" fontId="2" fillId="3" borderId="2" applyAlignment="1" pivotButton="0" quotePrefix="0" xfId="2">
      <alignment vertical="center" wrapText="1"/>
    </xf>
    <xf numFmtId="0" fontId="2" fillId="3" borderId="2" applyAlignment="1" pivotButton="0" quotePrefix="0" xfId="2">
      <alignment horizontal="center" vertical="center" wrapText="1"/>
    </xf>
    <xf numFmtId="0" fontId="1" fillId="2" borderId="2" applyAlignment="1" pivotButton="0" quotePrefix="0" xfId="1">
      <alignment horizontal="center" vertical="center" wrapText="1"/>
    </xf>
    <xf numFmtId="0" fontId="0" fillId="0" borderId="7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1" fontId="2" fillId="3" borderId="2" applyAlignment="1" pivotButton="0" quotePrefix="0" xfId="2">
      <alignment horizontal="center" vertical="center" wrapText="1"/>
    </xf>
    <xf numFmtId="1" fontId="4" fillId="0" borderId="6" applyAlignment="1" pivotButton="0" quotePrefix="0" xfId="0">
      <alignment vertical="center" wrapText="1"/>
    </xf>
    <xf numFmtId="1" fontId="4" fillId="0" borderId="2" applyAlignment="1" pivotButton="0" quotePrefix="0" xfId="0">
      <alignment vertical="center" wrapText="1"/>
    </xf>
    <xf numFmtId="1" fontId="4" fillId="0" borderId="7" applyAlignment="1" pivotButton="0" quotePrefix="0" xfId="0">
      <alignment vertical="center" wrapText="1"/>
    </xf>
    <xf numFmtId="1" fontId="3" fillId="0" borderId="6" applyAlignment="1" pivotButton="0" quotePrefix="0" xfId="0">
      <alignment vertical="center" wrapText="1"/>
    </xf>
    <xf numFmtId="1" fontId="0" fillId="0" borderId="0" pivotButton="0" quotePrefix="0" xfId="0"/>
    <xf numFmtId="0" fontId="1" fillId="2" borderId="2" applyAlignment="1" pivotButton="0" quotePrefix="0" xfId="1">
      <alignment vertical="center" wrapText="1"/>
    </xf>
    <xf numFmtId="1" fontId="2" fillId="3" borderId="2" applyAlignment="1" pivotButton="0" quotePrefix="0" xfId="2">
      <alignment vertical="center" wrapText="1"/>
    </xf>
    <xf numFmtId="0" fontId="2" fillId="3" borderId="1" applyAlignment="1" pivotButton="0" quotePrefix="0" xfId="2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4" fillId="0" borderId="10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1" fontId="4" fillId="0" borderId="10" applyAlignment="1" pivotButton="0" quotePrefix="0" xfId="0">
      <alignment vertical="center" wrapText="1"/>
    </xf>
    <xf numFmtId="1" fontId="4" fillId="0" borderId="4" applyAlignment="1" pivotButton="0" quotePrefix="0" xfId="0">
      <alignment vertical="center" wrapText="1"/>
    </xf>
    <xf numFmtId="0" fontId="3" fillId="0" borderId="1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10" applyAlignment="1" pivotButton="0" quotePrefix="0" xfId="0">
      <alignment vertical="center" wrapText="1"/>
    </xf>
    <xf numFmtId="0" fontId="3" fillId="0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3" fillId="0" borderId="5" applyAlignment="1" pivotButton="0" quotePrefix="0" xfId="0">
      <alignment vertical="center" wrapText="1"/>
    </xf>
    <xf numFmtId="1" fontId="4" fillId="0" borderId="5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3" fillId="0" borderId="12" applyAlignment="1" pivotButton="0" quotePrefix="0" xfId="0">
      <alignment vertical="center" wrapText="1"/>
    </xf>
    <xf numFmtId="0" fontId="3" fillId="0" borderId="13" applyAlignment="1" pivotButton="0" quotePrefix="0" xfId="0">
      <alignment vertical="center" wrapText="1"/>
    </xf>
    <xf numFmtId="0" fontId="3" fillId="0" borderId="14" applyAlignment="1" pivotButton="0" quotePrefix="0" xfId="0">
      <alignment vertical="center" wrapText="1"/>
    </xf>
    <xf numFmtId="0" fontId="3" fillId="0" borderId="8" applyAlignment="1" pivotButton="0" quotePrefix="0" xfId="0">
      <alignment vertical="center" wrapText="1"/>
    </xf>
    <xf numFmtId="0" fontId="3" fillId="0" borderId="6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2" fillId="3" borderId="9" applyAlignment="1" pivotButton="0" quotePrefix="0" xfId="2">
      <alignment horizontal="center" vertical="center" wrapText="1"/>
    </xf>
    <xf numFmtId="0" fontId="2" fillId="3" borderId="3" applyAlignment="1" pivotButton="0" quotePrefix="0" xfId="2">
      <alignment horizontal="center" vertical="center" wrapText="1"/>
    </xf>
    <xf numFmtId="0" fontId="2" fillId="3" borderId="2" applyAlignment="1" pivotButton="0" quotePrefix="0" xfId="2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2" fillId="3" borderId="9" applyAlignment="1" pivotButton="0" quotePrefix="0" xfId="2">
      <alignment vertical="center" wrapText="1"/>
    </xf>
    <xf numFmtId="0" fontId="2" fillId="3" borderId="3" applyAlignment="1" pivotButton="0" quotePrefix="0" xfId="2">
      <alignment vertical="center" wrapText="1"/>
    </xf>
    <xf numFmtId="0" fontId="2" fillId="3" borderId="2" applyAlignment="1" pivotButton="0" quotePrefix="0" xfId="2">
      <alignment vertical="center" wrapText="1"/>
    </xf>
    <xf numFmtId="0" fontId="0" fillId="0" borderId="3" pivotButton="0" quotePrefix="0" xfId="0"/>
    <xf numFmtId="0" fontId="0" fillId="0" borderId="2" pivotButton="0" quotePrefix="0" xfId="0"/>
    <xf numFmtId="1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5" pivotButton="0" quotePrefix="0" xfId="0"/>
    <xf numFmtId="0" fontId="3" fillId="0" borderId="1" applyAlignment="1" pivotButton="0" quotePrefix="0" xfId="0">
      <alignment vertical="top" wrapText="1"/>
    </xf>
  </cellXfs>
  <cellStyles count="3">
    <cellStyle name="Normal" xfId="0" builtinId="0"/>
    <cellStyle name="Bad" xfId="1" builtinId="27"/>
    <cellStyle name="Neutral" xfId="2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"/>
  <sheetViews>
    <sheetView tabSelected="1" topLeftCell="A125" zoomScale="160" zoomScaleNormal="160" workbookViewId="0">
      <selection activeCell="G64" sqref="G64"/>
    </sheetView>
  </sheetViews>
  <sheetFormatPr baseColWidth="8" defaultRowHeight="15"/>
  <cols>
    <col width="29.42578125" customWidth="1" min="1" max="1"/>
    <col width="36.42578125" customWidth="1" min="2" max="2"/>
    <col width="34.7109375" customWidth="1" style="20" min="3" max="3"/>
    <col width="21.7109375" bestFit="1" customWidth="1" min="7" max="7"/>
    <col width="45" bestFit="1" customWidth="1" min="9" max="9"/>
  </cols>
  <sheetData>
    <row r="1" ht="15.75" customHeight="1" thickBot="1">
      <c r="A1" s="9" t="inlineStr">
        <is>
          <t>Sequence</t>
        </is>
      </c>
      <c r="B1" s="52" t="inlineStr">
        <is>
          <t>Clip</t>
        </is>
      </c>
      <c r="C1" s="15" t="inlineStr">
        <is>
          <t>Frame ID</t>
        </is>
      </c>
      <c r="D1" s="23" t="inlineStr">
        <is>
          <t>Visualizations</t>
        </is>
      </c>
      <c r="E1" s="53" t="n"/>
      <c r="F1" s="53" t="n"/>
      <c r="G1" s="53" t="n"/>
      <c r="H1" s="54" t="n"/>
      <c r="I1" s="12" t="inlineStr">
        <is>
          <t>Problem</t>
        </is>
      </c>
    </row>
    <row r="2" ht="69.75" customHeight="1">
      <c r="A2" s="1" t="inlineStr">
        <is>
          <t>2026-03-13_03-03-32</t>
        </is>
      </c>
      <c r="B2" s="1" t="inlineStr">
        <is>
          <t>1773371068404_1773371088304</t>
        </is>
      </c>
      <c r="C2" s="55" t="inlineStr">
        <is>
          <t>1773371086904.png-1773371088304.png</t>
        </is>
      </c>
      <c r="D2" s="56">
        <f>IMAGE("https://liskibruh.github.io/l4_data_sheets_table_images_mapper/l4_problematic_frames/media/image1.png")</f>
        <v/>
      </c>
      <c r="E2" s="57" t="n"/>
      <c r="F2" s="58" t="n"/>
      <c r="G2" s="56">
        <f>IMAGE("https://liskibruh.github.io/l4_data_sheets_table_images_mapper/l4_problematic_frames/media/image2.png")</f>
        <v/>
      </c>
      <c r="H2" s="56" t="n"/>
      <c r="I2" s="1" t="inlineStr">
        <is>
          <t>Missing static objects</t>
        </is>
      </c>
    </row>
    <row r="3" ht="15.75" customHeight="1" thickBot="1">
      <c r="A3" s="59" t="n"/>
      <c r="B3" s="59" t="n"/>
      <c r="C3" s="59" t="n"/>
      <c r="D3" s="60" t="n"/>
      <c r="E3" s="61" t="n"/>
      <c r="F3" s="62" t="n"/>
      <c r="G3" s="59" t="n"/>
      <c r="H3" s="59" t="n"/>
      <c r="I3" s="59" t="n"/>
    </row>
    <row r="4" ht="29.25" customHeight="1" thickBot="1">
      <c r="A4" s="27" t="inlineStr">
        <is>
          <t>2026-03-13_03-03-32</t>
        </is>
      </c>
      <c r="B4" s="7" t="inlineStr">
        <is>
          <t>1773371088404_1773371108304</t>
        </is>
      </c>
      <c r="C4" s="16" t="inlineStr">
        <is>
          <t>1773371097504.png</t>
        </is>
      </c>
      <c r="D4" s="56">
        <f>IMAGE("https://liskibruh.github.io/l4_data_sheets_table_images_mapper/l4_problematic_frames/media/image3.png")</f>
        <v/>
      </c>
      <c r="E4" s="53" t="n"/>
      <c r="F4" s="54" t="n"/>
      <c r="G4" s="42" t="n"/>
      <c r="H4" s="42" t="n"/>
      <c r="I4" s="7" t="inlineStr">
        <is>
          <t>Missing static object</t>
        </is>
      </c>
    </row>
    <row r="5" ht="29.25" customHeight="1" thickBot="1">
      <c r="A5" s="27" t="inlineStr">
        <is>
          <t>2026-03-13_03-03-32</t>
        </is>
      </c>
      <c r="B5" s="7" t="inlineStr">
        <is>
          <t>1773371088404_1773371108304</t>
        </is>
      </c>
      <c r="C5" s="16" t="inlineStr">
        <is>
          <t>1773371099004.png - 1773371100005.png</t>
        </is>
      </c>
      <c r="D5" s="56">
        <f>IMAGE("https://liskibruh.github.io/l4_data_sheets_table_images_mapper/l4_problematic_frames/media/image4.png")</f>
        <v/>
      </c>
      <c r="E5" s="53" t="n"/>
      <c r="F5" s="54" t="n"/>
      <c r="G5" s="42">
        <f>IMAGE("https://liskibruh.github.io/l4_data_sheets_table_images_mapper/l4_problematic_frames/media/image4.png")</f>
        <v/>
      </c>
      <c r="H5" s="42" t="n"/>
      <c r="I5" s="7" t="inlineStr">
        <is>
          <t>Missing static object</t>
        </is>
      </c>
    </row>
    <row r="6" ht="29.25" customHeight="1" thickBot="1">
      <c r="A6" s="27" t="inlineStr">
        <is>
          <t>2026-03-13_03-03-32</t>
        </is>
      </c>
      <c r="B6" s="7" t="inlineStr">
        <is>
          <t>1773371088404_1773371108304</t>
        </is>
      </c>
      <c r="C6" s="16" t="inlineStr">
        <is>
          <t>1773371100005.png - 1773371100504.png</t>
        </is>
      </c>
      <c r="D6" s="56">
        <f>IMAGE("https://liskibruh.github.io/l4_data_sheets_table_images_mapper/l4_problematic_frames/media/image5.png")</f>
        <v/>
      </c>
      <c r="E6" s="53" t="n"/>
      <c r="F6" s="54" t="n"/>
      <c r="G6" s="42">
        <f>IMAGE("https://liskibruh.github.io/l4_data_sheets_table_images_mapper/l4_problematic_frames/media/image4.png")</f>
        <v/>
      </c>
      <c r="H6" s="42" t="n"/>
      <c r="I6" s="7" t="inlineStr">
        <is>
          <t>Missing static object</t>
        </is>
      </c>
    </row>
    <row r="7" ht="29.25" customHeight="1" thickBot="1">
      <c r="A7" s="27" t="inlineStr">
        <is>
          <t>2026-03-13_03-03-32</t>
        </is>
      </c>
      <c r="B7" s="7" t="inlineStr">
        <is>
          <t>1773371088404_1773371108304</t>
        </is>
      </c>
      <c r="C7" s="16" t="inlineStr">
        <is>
          <t>1773371097504.png</t>
        </is>
      </c>
      <c r="D7" s="56">
        <f>IMAGE("https://liskibruh.github.io/l4_data_sheets_table_images_mapper/l4_problematic_frames/media/image3.png")</f>
        <v/>
      </c>
      <c r="E7" s="53" t="n"/>
      <c r="F7" s="54" t="n"/>
      <c r="G7" s="42" t="n"/>
      <c r="H7" s="42" t="n"/>
      <c r="I7" s="7" t="inlineStr">
        <is>
          <t>Missing car detection</t>
        </is>
      </c>
    </row>
    <row r="8" ht="29.25" customHeight="1" thickBot="1">
      <c r="A8" s="27" t="inlineStr">
        <is>
          <t>2026-03-13_03-03-32</t>
        </is>
      </c>
      <c r="B8" s="7" t="inlineStr">
        <is>
          <t>1773371088404_1773371108304</t>
        </is>
      </c>
      <c r="C8" s="16" t="inlineStr">
        <is>
          <t>1773371105505.png</t>
        </is>
      </c>
      <c r="D8" s="56">
        <f>IMAGE("https://liskibruh.github.io/l4_data_sheets_table_images_mapper/l4_problematic_frames/media/image6.png")</f>
        <v/>
      </c>
      <c r="E8" s="53" t="n"/>
      <c r="F8" s="54" t="n"/>
      <c r="G8" s="42" t="n"/>
      <c r="H8" s="42" t="n"/>
      <c r="I8" s="7" t="inlineStr">
        <is>
          <t>Missing static object</t>
        </is>
      </c>
    </row>
    <row r="9" ht="29.25" customHeight="1" thickBot="1">
      <c r="A9" s="27" t="inlineStr">
        <is>
          <t>2026-03-13_03-03-32</t>
        </is>
      </c>
      <c r="B9" s="7" t="inlineStr">
        <is>
          <t>1773371128404_1773371148304</t>
        </is>
      </c>
      <c r="C9" s="16" t="inlineStr">
        <is>
          <t>1773371140005.png - 1773371141204.png</t>
        </is>
      </c>
      <c r="D9" s="56">
        <f>IMAGE("https://liskibruh.github.io/l4_data_sheets_table_images_mapper/l4_problematic_frames/media/image7.png")</f>
        <v/>
      </c>
      <c r="E9" s="53" t="n"/>
      <c r="F9" s="54" t="n"/>
      <c r="G9" s="42">
        <f>IMAGE("https://liskibruh.github.io/l4_data_sheets_table_images_mapper/l4_problematic_frames/media/image8.png")</f>
        <v/>
      </c>
      <c r="H9" s="42" t="n"/>
      <c r="I9" s="7" t="inlineStr">
        <is>
          <t>Missing static object</t>
        </is>
      </c>
    </row>
    <row r="10" ht="29.25" customHeight="1" thickBot="1">
      <c r="A10" s="27" t="inlineStr">
        <is>
          <t>2026-03-13_03-03-32</t>
        </is>
      </c>
      <c r="B10" s="7" t="inlineStr">
        <is>
          <t>1773371128404_1773371148304</t>
        </is>
      </c>
      <c r="C10" s="16" t="inlineStr">
        <is>
          <t>1773371139204.png</t>
        </is>
      </c>
      <c r="D10" s="56">
        <f>IMAGE("https://liskibruh.github.io/l4_data_sheets_table_images_mapper/l4_problematic_frames/media/image9.png")</f>
        <v/>
      </c>
      <c r="E10" s="53" t="n"/>
      <c r="F10" s="54" t="n"/>
      <c r="G10" s="42" t="n"/>
      <c r="H10" s="42" t="n"/>
      <c r="I10" s="7" t="inlineStr">
        <is>
          <t>Missing static object</t>
        </is>
      </c>
    </row>
    <row r="11" ht="41.25" customHeight="1">
      <c r="A11" s="1" t="inlineStr">
        <is>
          <t>2026-03-13_03-03-32</t>
        </is>
      </c>
      <c r="B11" s="1" t="inlineStr">
        <is>
          <t>1773371128404_1773371148304</t>
        </is>
      </c>
      <c r="C11" s="55" t="inlineStr">
        <is>
          <t>1773371142905.png</t>
        </is>
      </c>
      <c r="D11" s="56">
        <f>IMAGE("https://liskibruh.github.io/l4_data_sheets_table_images_mapper/l4_problematic_frames/media/image10.png")</f>
        <v/>
      </c>
      <c r="E11" s="57" t="n"/>
      <c r="F11" s="58" t="n"/>
      <c r="G11" s="56" t="n"/>
      <c r="H11" s="56" t="n"/>
      <c r="I11" s="1" t="inlineStr">
        <is>
          <t>Missing static object</t>
        </is>
      </c>
    </row>
    <row r="12" ht="15.75" customHeight="1" thickBot="1">
      <c r="A12" s="59" t="n"/>
      <c r="B12" s="59" t="n"/>
      <c r="C12" s="59" t="n"/>
      <c r="D12" s="60" t="n"/>
      <c r="E12" s="61" t="n"/>
      <c r="F12" s="62" t="n"/>
      <c r="G12" s="59" t="n"/>
      <c r="H12" s="59" t="n"/>
      <c r="I12" s="59" t="n"/>
    </row>
    <row r="13" ht="43.5" customHeight="1" thickBot="1">
      <c r="A13" s="27" t="inlineStr">
        <is>
          <t>2026-03-13_03-03-32</t>
        </is>
      </c>
      <c r="B13" s="7" t="inlineStr">
        <is>
          <t>1773371128404_1773371148304</t>
        </is>
      </c>
      <c r="C13" s="16" t="inlineStr">
        <is>
          <t>1773371150604.png - 1773371151404.png</t>
        </is>
      </c>
      <c r="D13" s="56">
        <f>IMAGE("https://liskibruh.github.io/l4_data_sheets_table_images_mapper/l4_problematic_frames/media/image11.png")</f>
        <v/>
      </c>
      <c r="E13" s="53" t="n"/>
      <c r="F13" s="54" t="n"/>
      <c r="G13" s="42">
        <f>IMAGE("https://liskibruh.github.io/l4_data_sheets_table_images_mapper/l4_problematic_frames/media/image12.png")</f>
        <v/>
      </c>
      <c r="H13" s="42" t="n"/>
      <c r="I13" s="7" t="inlineStr">
        <is>
          <t>Missing truck and static objects</t>
        </is>
      </c>
    </row>
    <row r="14" ht="16.5" customHeight="1" thickBot="1">
      <c r="A14" s="27" t="inlineStr">
        <is>
          <t>2026-03-13_03-03-32</t>
        </is>
      </c>
      <c r="B14" s="7" t="inlineStr">
        <is>
          <t>1773371128404_1773371148304</t>
        </is>
      </c>
      <c r="C14" s="16" t="inlineStr">
        <is>
          <t>1773371151603.png</t>
        </is>
      </c>
      <c r="D14" s="56">
        <f>IMAGE("https://liskibruh.github.io/l4_data_sheets_table_images_mapper/l4_problematic_frames/media/image13.png")</f>
        <v/>
      </c>
      <c r="E14" s="53" t="n"/>
      <c r="F14" s="54" t="n"/>
      <c r="G14" s="42" t="n"/>
      <c r="H14" s="42" t="n"/>
      <c r="I14" s="7" t="inlineStr">
        <is>
          <t>Bad frame</t>
        </is>
      </c>
    </row>
    <row r="15" ht="29.25" customHeight="1" thickBot="1">
      <c r="A15" s="27" t="inlineStr">
        <is>
          <t>2026-03-13_03-03-32</t>
        </is>
      </c>
      <c r="B15" s="7" t="inlineStr">
        <is>
          <t>1773371128404_1773371148304</t>
        </is>
      </c>
      <c r="C15" s="16" t="inlineStr">
        <is>
          <t>1773371152605.png - 1773371153804.png</t>
        </is>
      </c>
      <c r="D15" s="56">
        <f>IMAGE("https://liskibruh.github.io/l4_data_sheets_table_images_mapper/l4_problematic_frames/media/image14.png")</f>
        <v/>
      </c>
      <c r="E15" s="53" t="n"/>
      <c r="F15" s="54" t="n"/>
      <c r="G15" s="42">
        <f>IMAGE("https://liskibruh.github.io/l4_data_sheets_table_images_mapper/l4_problematic_frames/media/image15.png")</f>
        <v/>
      </c>
      <c r="H15" s="42" t="n"/>
      <c r="I15" s="7" t="inlineStr">
        <is>
          <t>Missing static object</t>
        </is>
      </c>
    </row>
    <row r="16" ht="69.75" customHeight="1">
      <c r="A16" s="1" t="inlineStr">
        <is>
          <t>2026-03-13_03-03-32</t>
        </is>
      </c>
      <c r="B16" s="1" t="inlineStr">
        <is>
          <t>1773371148504_1773371168404</t>
        </is>
      </c>
      <c r="C16" s="55" t="inlineStr">
        <is>
          <t>1773371157005.png - 1773371157105.png</t>
        </is>
      </c>
      <c r="D16" s="56">
        <f>IMAGE("https://liskibruh.github.io/l4_data_sheets_table_images_mapper/l4_problematic_frames/media/image16.png")</f>
        <v/>
      </c>
      <c r="E16" s="57" t="n"/>
      <c r="F16" s="58" t="n"/>
      <c r="G16" s="56">
        <f>IMAGE("https://liskibruh.github.io/l4_data_sheets_table_images_mapper/l4_problematic_frames/media/image17.png")</f>
        <v/>
      </c>
      <c r="H16" s="56" t="n"/>
      <c r="I16" s="1" t="inlineStr">
        <is>
          <t>Missing static object</t>
        </is>
      </c>
    </row>
    <row r="17" ht="15.75" customHeight="1" thickBot="1">
      <c r="A17" s="59" t="n"/>
      <c r="B17" s="59" t="n"/>
      <c r="C17" s="59" t="n"/>
      <c r="D17" s="60" t="n"/>
      <c r="E17" s="61" t="n"/>
      <c r="F17" s="62" t="n"/>
      <c r="G17" s="59" t="n"/>
      <c r="H17" s="59" t="n"/>
      <c r="I17" s="59" t="n"/>
    </row>
    <row r="18" ht="29.25" customHeight="1" thickBot="1">
      <c r="A18" s="27" t="inlineStr">
        <is>
          <t>2026-03-13_03-03-32</t>
        </is>
      </c>
      <c r="B18" s="7" t="inlineStr">
        <is>
          <t>1773371148504_1773371168404</t>
        </is>
      </c>
      <c r="C18" s="16" t="inlineStr">
        <is>
          <t>1773371154804.png - 1773371157804.png</t>
        </is>
      </c>
      <c r="D18" s="56">
        <f>IMAGE("https://liskibruh.github.io/l4_data_sheets_table_images_mapper/l4_problematic_frames/media/image18.png")</f>
        <v/>
      </c>
      <c r="E18" s="53" t="n"/>
      <c r="F18" s="54" t="n"/>
      <c r="G18" s="42">
        <f>IMAGE("https://liskibruh.github.io/l4_data_sheets_table_images_mapper/l4_problematic_frames/media/image16.png")</f>
        <v/>
      </c>
      <c r="H18" s="42" t="n"/>
      <c r="I18" s="7" t="inlineStr">
        <is>
          <t>Missing static objects</t>
        </is>
      </c>
    </row>
    <row r="19" ht="29.25" customHeight="1" thickBot="1">
      <c r="A19" s="27" t="inlineStr">
        <is>
          <t>2026-03-13_03-03-32</t>
        </is>
      </c>
      <c r="B19" s="7" t="inlineStr">
        <is>
          <t>1773371148504_1773371168404</t>
        </is>
      </c>
      <c r="C19" s="16" t="inlineStr">
        <is>
          <t>1773371156904.png - 1773371158905.png</t>
        </is>
      </c>
      <c r="D19" s="56">
        <f>IMAGE("https://liskibruh.github.io/l4_data_sheets_table_images_mapper/l4_problematic_frames/media/image19.png")</f>
        <v/>
      </c>
      <c r="E19" s="53" t="n"/>
      <c r="F19" s="54" t="n"/>
      <c r="G19" s="42">
        <f>IMAGE("https://liskibruh.github.io/l4_data_sheets_table_images_mapper/l4_problematic_frames/media/image20.png")</f>
        <v/>
      </c>
      <c r="H19" s="42" t="n"/>
      <c r="I19" s="7" t="inlineStr">
        <is>
          <t xml:space="preserve">Missing truck </t>
        </is>
      </c>
    </row>
    <row r="20" ht="29.25" customHeight="1" thickBot="1">
      <c r="A20" s="27" t="inlineStr">
        <is>
          <t>2026-03-13_03-03-32</t>
        </is>
      </c>
      <c r="B20" s="7" t="inlineStr">
        <is>
          <t>1773371148504_1773371168404</t>
        </is>
      </c>
      <c r="C20" s="16" t="inlineStr">
        <is>
          <t>1773371160004.png - 1773371161904.png</t>
        </is>
      </c>
      <c r="D20" s="56">
        <f>IMAGE("https://liskibruh.github.io/l4_data_sheets_table_images_mapper/l4_problematic_frames/media/image21.png")</f>
        <v/>
      </c>
      <c r="E20" s="53" t="n"/>
      <c r="F20" s="54" t="n"/>
      <c r="G20" s="42">
        <f>IMAGE("https://liskibruh.github.io/l4_data_sheets_table_images_mapper/l4_problematic_frames/media/image22.png")</f>
        <v/>
      </c>
      <c r="H20" s="42" t="n"/>
      <c r="I20" s="7" t="inlineStr">
        <is>
          <t xml:space="preserve">Missing truck </t>
        </is>
      </c>
    </row>
    <row r="21" ht="29.25" customHeight="1" thickBot="1">
      <c r="A21" s="27" t="inlineStr">
        <is>
          <t>2026-03-13_03-03-32</t>
        </is>
      </c>
      <c r="B21" s="7" t="inlineStr">
        <is>
          <t>1773371148504_1773371168404</t>
        </is>
      </c>
      <c r="C21" s="16" t="inlineStr">
        <is>
          <t>1773371159004.png - 1773371159905.png</t>
        </is>
      </c>
      <c r="D21" s="56">
        <f>IMAGE("https://liskibruh.github.io/l4_data_sheets_table_images_mapper/l4_problematic_frames/media/image23.png")</f>
        <v/>
      </c>
      <c r="E21" s="53" t="n"/>
      <c r="F21" s="54" t="n"/>
      <c r="G21" s="42">
        <f>IMAGE("https://liskibruh.github.io/l4_data_sheets_table_images_mapper/l4_problematic_frames/media/image24.png")</f>
        <v/>
      </c>
      <c r="H21" s="42" t="n"/>
      <c r="I21" s="7" t="inlineStr">
        <is>
          <t>Missing static object</t>
        </is>
      </c>
    </row>
    <row r="22" ht="29.25" customHeight="1" thickBot="1">
      <c r="A22" s="27" t="inlineStr">
        <is>
          <t>2026-03-13_03-03-32</t>
        </is>
      </c>
      <c r="B22" s="7" t="inlineStr">
        <is>
          <t>1773371148504_1773371168404</t>
        </is>
      </c>
      <c r="C22" s="16" t="inlineStr">
        <is>
          <t>1773371161804.png</t>
        </is>
      </c>
      <c r="D22" s="56">
        <f>IMAGE("https://liskibruh.github.io/l4_data_sheets_table_images_mapper/l4_problematic_frames/media/image25.png")</f>
        <v/>
      </c>
      <c r="E22" s="53" t="n"/>
      <c r="F22" s="54" t="n"/>
      <c r="G22" s="42" t="n"/>
      <c r="H22" s="42" t="n"/>
      <c r="I22" s="7" t="inlineStr">
        <is>
          <t>Missing static object</t>
        </is>
      </c>
    </row>
    <row r="23" ht="29.25" customHeight="1" thickBot="1">
      <c r="A23" s="27" t="inlineStr">
        <is>
          <t>2026-03-13_03-03-32</t>
        </is>
      </c>
      <c r="B23" s="7" t="inlineStr">
        <is>
          <t>1773371148504_1773371168404</t>
        </is>
      </c>
      <c r="C23" s="16" t="inlineStr">
        <is>
          <t>1773371160004.png - 1773371161904.png</t>
        </is>
      </c>
      <c r="D23" s="56">
        <f>IMAGE("https://liskibruh.github.io/l4_data_sheets_table_images_mapper/l4_problematic_frames/media/image21.png")</f>
        <v/>
      </c>
      <c r="E23" s="53" t="n"/>
      <c r="F23" s="54" t="n"/>
      <c r="G23" s="42">
        <f>IMAGE("https://liskibruh.github.io/l4_data_sheets_table_images_mapper/l4_problematic_frames/media/image22.png")</f>
        <v/>
      </c>
      <c r="H23" s="42" t="n"/>
      <c r="I23" s="7" t="inlineStr">
        <is>
          <t xml:space="preserve">Missing truck </t>
        </is>
      </c>
    </row>
    <row r="24" ht="29.25" customHeight="1" thickBot="1">
      <c r="A24" s="27" t="inlineStr">
        <is>
          <t>2026-03-13_03-03-32</t>
        </is>
      </c>
      <c r="B24" s="7" t="inlineStr">
        <is>
          <t>1773371148504_1773371168404</t>
        </is>
      </c>
      <c r="C24" s="16" t="inlineStr">
        <is>
          <t>1773371163205.png</t>
        </is>
      </c>
      <c r="D24" s="56">
        <f>IMAGE("https://liskibruh.github.io/l4_data_sheets_table_images_mapper/l4_problematic_frames/media/image26.png")</f>
        <v/>
      </c>
      <c r="E24" s="53" t="n"/>
      <c r="F24" s="54" t="n"/>
      <c r="G24" s="42" t="n"/>
      <c r="H24" s="42" t="n"/>
      <c r="I24" s="7" t="inlineStr">
        <is>
          <t>Missing static object</t>
        </is>
      </c>
    </row>
    <row r="25" ht="29.25" customHeight="1" thickBot="1">
      <c r="A25" s="27" t="inlineStr">
        <is>
          <t>2026-03-13_03-03-32</t>
        </is>
      </c>
      <c r="B25" s="7" t="inlineStr">
        <is>
          <t>1773371148504_1773371168404</t>
        </is>
      </c>
      <c r="C25" s="16" t="inlineStr">
        <is>
          <t>1773371164205.png - 1773371165104.png</t>
        </is>
      </c>
      <c r="D25" s="56">
        <f>IMAGE("https://liskibruh.github.io/l4_data_sheets_table_images_mapper/l4_problematic_frames/media/image27.png")</f>
        <v/>
      </c>
      <c r="E25" s="53" t="n"/>
      <c r="F25" s="54" t="n"/>
      <c r="G25" s="42">
        <f>IMAGE("https://liskibruh.github.io/l4_data_sheets_table_images_mapper/l4_problematic_frames/media/image28.png")</f>
        <v/>
      </c>
      <c r="H25" s="42" t="n"/>
      <c r="I25" s="7" t="inlineStr">
        <is>
          <t>Missing static object</t>
        </is>
      </c>
    </row>
    <row r="26" ht="29.25" customHeight="1" thickBot="1">
      <c r="A26" s="27" t="inlineStr">
        <is>
          <t>2026-03-13_03-03-32</t>
        </is>
      </c>
      <c r="B26" s="7" t="inlineStr">
        <is>
          <t>1773371168504_1773371188404</t>
        </is>
      </c>
      <c r="C26" s="16" t="inlineStr">
        <is>
          <t>1773371186705.png</t>
        </is>
      </c>
      <c r="D26" s="56">
        <f>IMAGE("https://liskibruh.github.io/l4_data_sheets_table_images_mapper/l4_problematic_frames/media/image29.png")</f>
        <v/>
      </c>
      <c r="E26" s="53" t="n"/>
      <c r="F26" s="54" t="n"/>
      <c r="G26" s="42" t="n"/>
      <c r="H26" s="42" t="n"/>
      <c r="I26" s="7" t="inlineStr">
        <is>
          <t>Missing static object</t>
        </is>
      </c>
    </row>
    <row r="27" ht="29.25" customHeight="1" thickBot="1">
      <c r="A27" s="27" t="inlineStr">
        <is>
          <t>2026-03-13_03-03-32</t>
        </is>
      </c>
      <c r="B27" s="7" t="inlineStr">
        <is>
          <t>1773371168504_1773371188404</t>
        </is>
      </c>
      <c r="C27" s="16" t="inlineStr">
        <is>
          <t>1773371187105.png</t>
        </is>
      </c>
      <c r="D27" s="56">
        <f>IMAGE("https://liskibruh.github.io/l4_data_sheets_table_images_mapper/l4_problematic_frames/media/image30.png")</f>
        <v/>
      </c>
      <c r="E27" s="53" t="n"/>
      <c r="F27" s="54" t="n"/>
      <c r="G27" s="42" t="n"/>
      <c r="H27" s="42" t="n"/>
      <c r="I27" s="7" t="inlineStr">
        <is>
          <t>Missing static object</t>
        </is>
      </c>
    </row>
    <row r="28" ht="29.25" customHeight="1" thickBot="1">
      <c r="A28" s="27" t="inlineStr">
        <is>
          <t>2026-03-13_03-03-32</t>
        </is>
      </c>
      <c r="B28" s="7" t="inlineStr">
        <is>
          <t>1773371168504_1773371188404</t>
        </is>
      </c>
      <c r="C28" s="16" t="inlineStr">
        <is>
          <t>1773371187205.png</t>
        </is>
      </c>
      <c r="D28" s="56">
        <f>IMAGE("https://liskibruh.github.io/l4_data_sheets_table_images_mapper/l4_problematic_frames/media/image31.png")</f>
        <v/>
      </c>
      <c r="E28" s="53" t="n"/>
      <c r="F28" s="54" t="n"/>
      <c r="G28" s="42" t="n"/>
      <c r="H28" s="42" t="n"/>
      <c r="I28" s="7" t="inlineStr">
        <is>
          <t>Missing static object</t>
        </is>
      </c>
    </row>
    <row r="29" ht="29.25" customHeight="1" thickBot="1">
      <c r="A29" s="27" t="inlineStr">
        <is>
          <t>2026-03-13_03-03-32</t>
        </is>
      </c>
      <c r="B29" s="7" t="inlineStr">
        <is>
          <t>1773371168504_1773371188404</t>
        </is>
      </c>
      <c r="C29" s="16" t="inlineStr">
        <is>
          <t>1773371193304.png</t>
        </is>
      </c>
      <c r="D29" s="56">
        <f>IMAGE("https://liskibruh.github.io/l4_data_sheets_table_images_mapper/l4_problematic_frames/media/image32.png")</f>
        <v/>
      </c>
      <c r="E29" s="53" t="n"/>
      <c r="F29" s="54" t="n"/>
      <c r="G29" s="42" t="n"/>
      <c r="H29" s="42" t="n"/>
      <c r="I29" s="7" t="inlineStr">
        <is>
          <t>Missing static object</t>
        </is>
      </c>
    </row>
    <row r="30" ht="29.25" customHeight="1" thickBot="1">
      <c r="A30" s="27" t="inlineStr">
        <is>
          <t>2026-03-13_03-03-32</t>
        </is>
      </c>
      <c r="B30" s="7" t="inlineStr">
        <is>
          <t>1773371188604_1773371208404</t>
        </is>
      </c>
      <c r="C30" s="16" t="inlineStr">
        <is>
          <t>1773371193805.png - 1773371194305.png</t>
        </is>
      </c>
      <c r="D30" s="56">
        <f>IMAGE("https://liskibruh.github.io/l4_data_sheets_table_images_mapper/l4_problematic_frames/media/image33.png")</f>
        <v/>
      </c>
      <c r="E30" s="53" t="n"/>
      <c r="F30" s="54" t="n"/>
      <c r="G30" s="42">
        <f>IMAGE("https://liskibruh.github.io/l4_data_sheets_table_images_mapper/l4_problematic_frames/media/image34.png")</f>
        <v/>
      </c>
      <c r="H30" s="42" t="n"/>
      <c r="I30" s="7" t="inlineStr">
        <is>
          <t>Missing static object</t>
        </is>
      </c>
    </row>
    <row r="31" ht="29.25" customHeight="1" thickBot="1">
      <c r="A31" s="27" t="inlineStr">
        <is>
          <t>2026-03-13_03-03-32</t>
        </is>
      </c>
      <c r="B31" s="7" t="inlineStr">
        <is>
          <t>1773371188604_1773371208404</t>
        </is>
      </c>
      <c r="C31" s="16" t="inlineStr">
        <is>
          <t>1773371194904.png</t>
        </is>
      </c>
      <c r="D31" s="56">
        <f>IMAGE("https://liskibruh.github.io/l4_data_sheets_table_images_mapper/l4_problematic_frames/media/image35.png")</f>
        <v/>
      </c>
      <c r="E31" s="53" t="n"/>
      <c r="F31" s="54" t="n"/>
      <c r="G31" s="42" t="n"/>
      <c r="H31" s="42" t="n"/>
      <c r="I31" s="7" t="inlineStr">
        <is>
          <t>Missing static object</t>
        </is>
      </c>
    </row>
    <row r="32" ht="29.25" customHeight="1" thickBot="1">
      <c r="A32" s="27" t="inlineStr">
        <is>
          <t>2026-03-13_03-03-32</t>
        </is>
      </c>
      <c r="B32" s="7" t="inlineStr">
        <is>
          <t>1773371208604_1773371228504</t>
        </is>
      </c>
      <c r="C32" s="16" t="inlineStr">
        <is>
          <t>1773371217804.png - 1773371219905.png</t>
        </is>
      </c>
      <c r="D32" s="56">
        <f>IMAGE("https://liskibruh.github.io/l4_data_sheets_table_images_mapper/l4_problematic_frames/media/image36.png")</f>
        <v/>
      </c>
      <c r="E32" s="53" t="n"/>
      <c r="F32" s="54" t="n"/>
      <c r="G32" s="42">
        <f>IMAGE("https://liskibruh.github.io/l4_data_sheets_table_images_mapper/l4_problematic_frames/media/image37.png")</f>
        <v/>
      </c>
      <c r="H32" s="42" t="n"/>
      <c r="I32" s="7" t="inlineStr">
        <is>
          <t>Missing static object</t>
        </is>
      </c>
    </row>
    <row r="33" ht="29.25" customHeight="1" thickBot="1">
      <c r="A33" s="27" t="inlineStr">
        <is>
          <t>2026-03-13_03-03-32</t>
        </is>
      </c>
      <c r="B33" s="7" t="inlineStr">
        <is>
          <t>1773371208604_1773371228504</t>
        </is>
      </c>
      <c r="C33" s="16" t="inlineStr">
        <is>
          <t>1773371226404.png</t>
        </is>
      </c>
      <c r="D33" s="56">
        <f>IMAGE("https://liskibruh.github.io/l4_data_sheets_table_images_mapper/l4_problematic_frames/media/image38.png")</f>
        <v/>
      </c>
      <c r="E33" s="53" t="n"/>
      <c r="F33" s="54" t="n"/>
      <c r="G33" s="42" t="n"/>
      <c r="H33" s="42" t="n"/>
      <c r="I33" s="7" t="inlineStr">
        <is>
          <t>Missing static object</t>
        </is>
      </c>
    </row>
    <row r="34" ht="29.25" customHeight="1" thickBot="1">
      <c r="A34" s="27" t="inlineStr">
        <is>
          <t>2026-03-13_03-03-32</t>
        </is>
      </c>
      <c r="B34" s="7" t="inlineStr">
        <is>
          <t>1773371208604_1773371228504</t>
        </is>
      </c>
      <c r="C34" s="16" t="inlineStr">
        <is>
          <t>1773371226805.png</t>
        </is>
      </c>
      <c r="D34" s="56">
        <f>IMAGE("https://liskibruh.github.io/l4_data_sheets_table_images_mapper/l4_problematic_frames/media/image39.png")</f>
        <v/>
      </c>
      <c r="E34" s="53" t="n"/>
      <c r="F34" s="54" t="n"/>
      <c r="G34" s="42" t="n"/>
      <c r="H34" s="42" t="n"/>
      <c r="I34" s="7" t="inlineStr">
        <is>
          <t>Missing static objects</t>
        </is>
      </c>
    </row>
    <row r="35" ht="29.25" customHeight="1" thickBot="1">
      <c r="A35" s="27" t="inlineStr">
        <is>
          <t>2026-03-13_03-03-32</t>
        </is>
      </c>
      <c r="B35" s="7" t="inlineStr">
        <is>
          <t>1773371208604_1773371228504</t>
        </is>
      </c>
      <c r="C35" s="16" t="inlineStr">
        <is>
          <t>1773371232604.png - 1773371233204.png</t>
        </is>
      </c>
      <c r="D35" s="56">
        <f>IMAGE("https://liskibruh.github.io/l4_data_sheets_table_images_mapper/l4_problematic_frames/media/image40.png")</f>
        <v/>
      </c>
      <c r="E35" s="53" t="n"/>
      <c r="F35" s="54" t="n"/>
      <c r="G35" s="42">
        <f>IMAGE("https://liskibruh.github.io/l4_data_sheets_table_images_mapper/l4_problematic_frames/media/image41.png")</f>
        <v/>
      </c>
      <c r="H35" s="42" t="n"/>
      <c r="I35" s="7" t="inlineStr">
        <is>
          <t xml:space="preserve">Missing truck </t>
        </is>
      </c>
    </row>
    <row r="36" ht="29.25" customHeight="1" thickBot="1">
      <c r="A36" s="27" t="inlineStr">
        <is>
          <t>2026-03-13_03-03-32</t>
        </is>
      </c>
      <c r="B36" s="7" t="inlineStr">
        <is>
          <t>1773371228604_1773371248505</t>
        </is>
      </c>
      <c r="C36" s="16" t="inlineStr">
        <is>
          <t>1773371234104.png</t>
        </is>
      </c>
      <c r="D36" s="56">
        <f>IMAGE("https://liskibruh.github.io/l4_data_sheets_table_images_mapper/l4_problematic_frames/media/image42.png")</f>
        <v/>
      </c>
      <c r="E36" s="53" t="n"/>
      <c r="F36" s="54" t="n"/>
      <c r="G36" s="42" t="n"/>
      <c r="H36" s="42" t="n"/>
      <c r="I36" s="7" t="inlineStr">
        <is>
          <t>Missing static objects</t>
        </is>
      </c>
    </row>
    <row r="37" ht="29.25" customHeight="1" thickBot="1">
      <c r="A37" s="27" t="inlineStr">
        <is>
          <t>2026-03-13_03-03-32</t>
        </is>
      </c>
      <c r="B37" s="7" t="inlineStr">
        <is>
          <t>1773371208604_1773371228504</t>
        </is>
      </c>
      <c r="C37" s="16" t="inlineStr">
        <is>
          <t>1773371233304.png - 1773371234405.png</t>
        </is>
      </c>
      <c r="D37" s="56">
        <f>IMAGE("https://liskibruh.github.io/l4_data_sheets_table_images_mapper/l4_problematic_frames/media/image43.png")</f>
        <v/>
      </c>
      <c r="E37" s="53" t="n"/>
      <c r="F37" s="54" t="n"/>
      <c r="G37" s="42">
        <f>IMAGE("https://liskibruh.github.io/l4_data_sheets_table_images_mapper/l4_problematic_frames/media/image44.png")</f>
        <v/>
      </c>
      <c r="H37" s="42" t="n"/>
      <c r="I37" s="7" t="inlineStr">
        <is>
          <t>Missing truck</t>
        </is>
      </c>
    </row>
    <row r="38" ht="29.25" customHeight="1" thickBot="1">
      <c r="A38" s="27" t="inlineStr">
        <is>
          <t>2026-03-13_03-03-32</t>
        </is>
      </c>
      <c r="B38" s="7" t="inlineStr">
        <is>
          <t>1773371228604_1773371248505</t>
        </is>
      </c>
      <c r="C38" s="16" t="inlineStr">
        <is>
          <t>1773371239005.png - 1773371239804.png</t>
        </is>
      </c>
      <c r="D38" s="56">
        <f>IMAGE("https://liskibruh.github.io/l4_data_sheets_table_images_mapper/l4_problematic_frames/media/image45.png")</f>
        <v/>
      </c>
      <c r="E38" s="53" t="n"/>
      <c r="F38" s="54" t="n"/>
      <c r="G38" s="42">
        <f>IMAGE("https://liskibruh.github.io/l4_data_sheets_table_images_mapper/l4_problematic_frames/media/image46.png")</f>
        <v/>
      </c>
      <c r="H38" s="42" t="n"/>
      <c r="I38" s="7" t="inlineStr">
        <is>
          <t>Missing static object</t>
        </is>
      </c>
    </row>
    <row r="39" ht="43.5" customHeight="1" thickBot="1">
      <c r="A39" s="27" t="inlineStr">
        <is>
          <t>2026-03-13_03-03-32</t>
        </is>
      </c>
      <c r="B39" s="7" t="inlineStr">
        <is>
          <t>1773371248604_1773371268603</t>
        </is>
      </c>
      <c r="C39" s="16" t="inlineStr">
        <is>
          <t>1773371260705.png - 1773371261505.png</t>
        </is>
      </c>
      <c r="D39" s="56">
        <f>IMAGE("https://liskibruh.github.io/l4_data_sheets_table_images_mapper/l4_problematic_frames/media/image47.png")</f>
        <v/>
      </c>
      <c r="E39" s="53" t="n"/>
      <c r="F39" s="54" t="n"/>
      <c r="G39" s="42">
        <f>IMAGE("https://liskibruh.github.io/l4_data_sheets_table_images_mapper/l4_problematic_frames/media/image48.png")</f>
        <v/>
      </c>
      <c r="H39" s="42" t="n"/>
      <c r="I39" s="7" t="inlineStr">
        <is>
          <t>Missclassification of static objects as car</t>
        </is>
      </c>
    </row>
    <row r="40" ht="29.25" customHeight="1" thickBot="1">
      <c r="A40" s="27" t="inlineStr">
        <is>
          <t>2026-03-13_03-03-32</t>
        </is>
      </c>
      <c r="B40" s="7" t="inlineStr">
        <is>
          <t>1773371248604_1773371268603</t>
        </is>
      </c>
      <c r="C40" s="16" t="inlineStr">
        <is>
          <t>1773371261705.png</t>
        </is>
      </c>
      <c r="D40" s="56">
        <f>IMAGE("https://liskibruh.github.io/l4_data_sheets_table_images_mapper/l4_problematic_frames/media/image49.png")</f>
        <v/>
      </c>
      <c r="E40" s="53" t="n"/>
      <c r="F40" s="54" t="n"/>
      <c r="G40" s="42" t="n"/>
      <c r="H40" s="42" t="n"/>
      <c r="I40" s="7" t="inlineStr">
        <is>
          <t>Missing static object</t>
        </is>
      </c>
    </row>
    <row r="41" ht="29.25" customHeight="1" thickBot="1">
      <c r="A41" s="27" t="inlineStr">
        <is>
          <t>2026-03-13_03-03-32</t>
        </is>
      </c>
      <c r="B41" s="7" t="inlineStr">
        <is>
          <t>1773371248604_1773371268603</t>
        </is>
      </c>
      <c r="C41" s="16" t="inlineStr">
        <is>
          <t>1773371263704.png - 1773371264805.png</t>
        </is>
      </c>
      <c r="D41" s="56">
        <f>IMAGE("https://liskibruh.github.io/l4_data_sheets_table_images_mapper/l4_problematic_frames/media/image50.png")</f>
        <v/>
      </c>
      <c r="E41" s="53" t="n"/>
      <c r="F41" s="54" t="n"/>
      <c r="G41" s="42">
        <f>IMAGE("https://liskibruh.github.io/l4_data_sheets_table_images_mapper/l4_problematic_frames/media/image51.png")</f>
        <v/>
      </c>
      <c r="H41" s="42" t="n"/>
      <c r="I41" s="7" t="inlineStr">
        <is>
          <t>Missing static object</t>
        </is>
      </c>
    </row>
    <row r="42" ht="57.75" customHeight="1" thickBot="1">
      <c r="A42" s="27" t="inlineStr">
        <is>
          <t>2026-03-13_03-03-32</t>
        </is>
      </c>
      <c r="B42" s="7" t="inlineStr">
        <is>
          <t>1773371268605_1773371288603</t>
        </is>
      </c>
      <c r="C42" s="16" t="inlineStr">
        <is>
          <t>1773371288004.png - 1773371288405.png</t>
        </is>
      </c>
      <c r="D42" s="56">
        <f>IMAGE("https://liskibruh.github.io/l4_data_sheets_table_images_mapper/l4_problematic_frames/media/image52.png")</f>
        <v/>
      </c>
      <c r="E42" s="53" t="n"/>
      <c r="F42" s="54" t="n"/>
      <c r="G42" s="42">
        <f>IMAGE("https://liskibruh.github.io/l4_data_sheets_table_images_mapper/l4_problematic_frames/media/image53.png")</f>
        <v/>
      </c>
      <c r="H42" s="42" t="n"/>
      <c r="I42" s="7" t="inlineStr">
        <is>
          <t xml:space="preserve">Missclassification of pedestrians as static object </t>
        </is>
      </c>
    </row>
    <row r="43" ht="57.75" customHeight="1" thickBot="1">
      <c r="A43" s="27" t="inlineStr">
        <is>
          <t>2026-03-13_03-03-32</t>
        </is>
      </c>
      <c r="B43" s="7" t="inlineStr">
        <is>
          <t>1773371268605_1773371288603</t>
        </is>
      </c>
      <c r="C43" s="16" t="inlineStr">
        <is>
          <t>1773371289604.png - 1773371290504.png</t>
        </is>
      </c>
      <c r="D43" s="56">
        <f>IMAGE("https://liskibruh.github.io/l4_data_sheets_table_images_mapper/l4_problematic_frames/media/image54.png")</f>
        <v/>
      </c>
      <c r="E43" s="53" t="n"/>
      <c r="F43" s="54" t="n"/>
      <c r="G43" s="42">
        <f>IMAGE("https://liskibruh.github.io/l4_data_sheets_table_images_mapper/l4_problematic_frames/media/image55.png")</f>
        <v/>
      </c>
      <c r="H43" s="42" t="n"/>
      <c r="I43" s="7" t="inlineStr">
        <is>
          <t>Missclassification of static object as pedestrian</t>
        </is>
      </c>
    </row>
    <row r="44" ht="29.25" customHeight="1" thickBot="1">
      <c r="A44" s="27" t="inlineStr">
        <is>
          <t>2026-03-13_03-03-32</t>
        </is>
      </c>
      <c r="B44" s="7" t="inlineStr">
        <is>
          <t>1773371288605_1773371308604</t>
        </is>
      </c>
      <c r="C44" s="16" t="inlineStr">
        <is>
          <t>1773371301705.png - 1773371302605.png</t>
        </is>
      </c>
      <c r="D44" s="56">
        <f>IMAGE("https://liskibruh.github.io/l4_data_sheets_table_images_mapper/l4_problematic_frames/media/image56.png")</f>
        <v/>
      </c>
      <c r="E44" s="53" t="n"/>
      <c r="F44" s="54" t="n"/>
      <c r="G44" s="42">
        <f>IMAGE("https://liskibruh.github.io/l4_data_sheets_table_images_mapper/l4_problematic_frames/media/image57.png")</f>
        <v/>
      </c>
      <c r="H44" s="42" t="n"/>
      <c r="I44" s="7" t="inlineStr">
        <is>
          <t>Missing truck detection</t>
        </is>
      </c>
    </row>
    <row r="45" ht="29.25" customHeight="1" thickBot="1">
      <c r="A45" s="27" t="inlineStr">
        <is>
          <t>2026-03-13_03-03-32</t>
        </is>
      </c>
      <c r="B45" s="7" t="inlineStr">
        <is>
          <t>1773371288605_1773371308604</t>
        </is>
      </c>
      <c r="C45" s="16" t="inlineStr">
        <is>
          <t>1773371302904.png</t>
        </is>
      </c>
      <c r="D45" s="56">
        <f>IMAGE("https://liskibruh.github.io/l4_data_sheets_table_images_mapper/l4_problematic_frames/media/image58.png")</f>
        <v/>
      </c>
      <c r="E45" s="53" t="n"/>
      <c r="F45" s="54" t="n"/>
      <c r="G45" s="42" t="n"/>
      <c r="H45" s="42" t="n"/>
      <c r="I45" s="7" t="inlineStr">
        <is>
          <t>Missing truck detection</t>
        </is>
      </c>
    </row>
    <row r="46" ht="43.5" customHeight="1" thickBot="1">
      <c r="A46" s="27" t="inlineStr">
        <is>
          <t>2026-03-13_03-03-32</t>
        </is>
      </c>
      <c r="B46" s="7" t="inlineStr">
        <is>
          <t>1773371288605_1773371308604</t>
        </is>
      </c>
      <c r="C46" s="16" t="inlineStr">
        <is>
          <t>1773371303704.png - 1773371304704.png</t>
        </is>
      </c>
      <c r="D46" s="56">
        <f>IMAGE("https://liskibruh.github.io/l4_data_sheets_table_images_mapper/l4_problematic_frames/media/image59.png")</f>
        <v/>
      </c>
      <c r="E46" s="53" t="n"/>
      <c r="F46" s="54" t="n"/>
      <c r="G46" s="42">
        <f>IMAGE("https://liskibruh.github.io/l4_data_sheets_table_images_mapper/l4_problematic_frames/media/image60.png")</f>
        <v/>
      </c>
      <c r="H46" s="42" t="n"/>
      <c r="I46" s="7" t="inlineStr">
        <is>
          <t>Missclassification of truck as static object</t>
        </is>
      </c>
    </row>
    <row r="47" ht="57.75" customHeight="1" thickBot="1">
      <c r="A47" s="27" t="inlineStr">
        <is>
          <t>2026-03-13_03-03-32</t>
        </is>
      </c>
      <c r="B47" s="7" t="inlineStr">
        <is>
          <t>1773371288605_1773371308604</t>
        </is>
      </c>
      <c r="C47" s="16" t="inlineStr">
        <is>
          <t>1773371305905.png - 1773371306804.png</t>
        </is>
      </c>
      <c r="D47" s="56">
        <f>IMAGE("https://liskibruh.github.io/l4_data_sheets_table_images_mapper/l4_problematic_frames/media/image61.png")</f>
        <v/>
      </c>
      <c r="E47" s="53" t="n"/>
      <c r="F47" s="54" t="n"/>
      <c r="G47" s="42">
        <f>IMAGE("https://liskibruh.github.io/l4_data_sheets_table_images_mapper/l4_problematic_frames/media/image62.png")</f>
        <v/>
      </c>
      <c r="H47" s="42" t="n"/>
      <c r="I47" s="7" t="inlineStr">
        <is>
          <t>Pedestrian misclassified as static object</t>
        </is>
      </c>
    </row>
    <row r="48" ht="29.25" customHeight="1" thickBot="1">
      <c r="A48" s="27" t="inlineStr">
        <is>
          <t>2026-03-13_03-03-32</t>
        </is>
      </c>
      <c r="B48" s="7" t="inlineStr">
        <is>
          <t>1773371288605_1773371308604</t>
        </is>
      </c>
      <c r="C48" s="16" t="inlineStr">
        <is>
          <t>1773371308004.png - 1773371308604.png</t>
        </is>
      </c>
      <c r="D48" s="56">
        <f>IMAGE("https://liskibruh.github.io/l4_data_sheets_table_images_mapper/l4_problematic_frames/media/image63.png")</f>
        <v/>
      </c>
      <c r="E48" s="53" t="n"/>
      <c r="F48" s="54" t="n"/>
      <c r="G48" s="42">
        <f>IMAGE("https://liskibruh.github.io/l4_data_sheets_table_images_mapper/l4_problematic_frames/media/image64.png")</f>
        <v/>
      </c>
      <c r="H48" s="42" t="n"/>
      <c r="I48" s="7" t="inlineStr">
        <is>
          <t xml:space="preserve">Missing truck detection </t>
        </is>
      </c>
    </row>
    <row r="49" ht="43.5" customHeight="1" thickBot="1">
      <c r="A49" s="27" t="inlineStr">
        <is>
          <t>2026-03-13_03-03-32</t>
        </is>
      </c>
      <c r="B49" s="7" t="inlineStr">
        <is>
          <t>1773371308704_1773371328605</t>
        </is>
      </c>
      <c r="C49" s="16" t="inlineStr">
        <is>
          <t>1773371321405.png - 1773371322404.png</t>
        </is>
      </c>
      <c r="D49" s="56">
        <f>IMAGE("https://liskibruh.github.io/l4_data_sheets_table_images_mapper/l4_problematic_frames/media/image65.png")</f>
        <v/>
      </c>
      <c r="E49" s="53" t="n"/>
      <c r="F49" s="54" t="n"/>
      <c r="G49" s="42">
        <f>IMAGE("https://liskibruh.github.io/l4_data_sheets_table_images_mapper/l4_problematic_frames/media/image66.png")</f>
        <v/>
      </c>
      <c r="H49" s="42" t="n"/>
      <c r="I49" s="7" t="inlineStr">
        <is>
          <t>Missclassification of truck as car</t>
        </is>
      </c>
    </row>
    <row r="50" ht="69.75" customHeight="1">
      <c r="A50" s="1" t="inlineStr">
        <is>
          <t>2026-03-13_03-03-32</t>
        </is>
      </c>
      <c r="B50" s="1" t="inlineStr">
        <is>
          <t>1773371308704_1773371328605</t>
        </is>
      </c>
      <c r="C50" s="55" t="inlineStr">
        <is>
          <t>1773371333204.png - 1773371335204.png</t>
        </is>
      </c>
      <c r="D50" s="56">
        <f>IMAGE("https://liskibruh.github.io/l4_data_sheets_table_images_mapper/l4_problematic_frames/media/image67.png")</f>
        <v/>
      </c>
      <c r="E50" s="57" t="n"/>
      <c r="F50" s="58" t="n"/>
      <c r="G50" s="56">
        <f>IMAGE("https://liskibruh.github.io/l4_data_sheets_table_images_mapper/l4_problematic_frames/media/image68.png")</f>
        <v/>
      </c>
      <c r="H50" s="56" t="n"/>
      <c r="I50" s="1" t="inlineStr">
        <is>
          <t>Multiple detections missing</t>
        </is>
      </c>
    </row>
    <row r="51" ht="15.75" customHeight="1" thickBot="1">
      <c r="A51" s="59" t="n"/>
      <c r="B51" s="59" t="n"/>
      <c r="C51" s="59" t="n"/>
      <c r="D51" s="60" t="n"/>
      <c r="E51" s="61" t="n"/>
      <c r="F51" s="62" t="n"/>
      <c r="G51" s="59" t="n"/>
      <c r="H51" s="59" t="n"/>
      <c r="I51" s="59" t="n"/>
    </row>
    <row r="52" ht="29.25" customHeight="1" thickBot="1">
      <c r="A52" s="27" t="inlineStr">
        <is>
          <t>2026-03-13_03-03-32</t>
        </is>
      </c>
      <c r="B52" s="7" t="inlineStr">
        <is>
          <t>1773371328704_1773371348604</t>
        </is>
      </c>
      <c r="C52" s="16" t="inlineStr">
        <is>
          <t>1773371335505.png</t>
        </is>
      </c>
      <c r="D52" s="56">
        <f>IMAGE("https://liskibruh.github.io/l4_data_sheets_table_images_mapper/l4_problematic_frames/media/image69.png")</f>
        <v/>
      </c>
      <c r="E52" s="53" t="n"/>
      <c r="F52" s="54" t="n"/>
      <c r="G52" s="42" t="n"/>
      <c r="H52" s="42" t="n"/>
      <c r="I52" s="7" t="inlineStr">
        <is>
          <t>Missing static object</t>
        </is>
      </c>
    </row>
    <row r="53" ht="29.25" customHeight="1" thickBot="1">
      <c r="A53" s="27" t="inlineStr">
        <is>
          <t>2026-03-13_03-03-32</t>
        </is>
      </c>
      <c r="B53" s="7" t="inlineStr">
        <is>
          <t>1773371328704_1773371348604</t>
        </is>
      </c>
      <c r="C53" s="16" t="inlineStr">
        <is>
          <t>1773371335904.png - 1773371336205.png</t>
        </is>
      </c>
      <c r="D53" s="56">
        <f>IMAGE("https://liskibruh.github.io/l4_data_sheets_table_images_mapper/l4_problematic_frames/media/image70.png")</f>
        <v/>
      </c>
      <c r="E53" s="53" t="n"/>
      <c r="F53" s="54" t="n"/>
      <c r="G53" s="42">
        <f>IMAGE("https://liskibruh.github.io/l4_data_sheets_table_images_mapper/l4_problematic_frames/media/image71.png")</f>
        <v/>
      </c>
      <c r="H53" s="42" t="n"/>
      <c r="I53" s="7" t="inlineStr">
        <is>
          <t>Missing static object</t>
        </is>
      </c>
    </row>
    <row r="54" ht="29.25" customHeight="1" thickBot="1">
      <c r="A54" s="27" t="inlineStr">
        <is>
          <t>2026-03-13_03-03-32</t>
        </is>
      </c>
      <c r="B54" s="7" t="inlineStr">
        <is>
          <t>1773371328704_1773371348604</t>
        </is>
      </c>
      <c r="C54" s="16" t="inlineStr">
        <is>
          <t xml:space="preserve">1773371336305.png- 1773371337404.png </t>
        </is>
      </c>
      <c r="D54" s="56">
        <f>IMAGE("https://liskibruh.github.io/l4_data_sheets_table_images_mapper/l4_problematic_frames/media/image72.png")</f>
        <v/>
      </c>
      <c r="E54" s="53" t="n"/>
      <c r="F54" s="54" t="n"/>
      <c r="G54" s="42">
        <f>IMAGE("https://liskibruh.github.io/l4_data_sheets_table_images_mapper/l4_problematic_frames/media/image73.png")</f>
        <v/>
      </c>
      <c r="H54" s="42" t="n"/>
      <c r="I54" s="7" t="inlineStr">
        <is>
          <t>Missing static object</t>
        </is>
      </c>
    </row>
    <row r="55" ht="57.75" customHeight="1" thickBot="1">
      <c r="A55" s="27" t="inlineStr">
        <is>
          <t>2026-03-13_03-03-32</t>
        </is>
      </c>
      <c r="B55" s="7" t="inlineStr">
        <is>
          <t>1773371328704_1773371348604</t>
        </is>
      </c>
      <c r="C55" s="16" t="inlineStr">
        <is>
          <t>1773371339605.png - 1773371341704.png</t>
        </is>
      </c>
      <c r="D55" s="56">
        <f>IMAGE("https://liskibruh.github.io/l4_data_sheets_table_images_mapper/l4_problematic_frames/media/image74.png")</f>
        <v/>
      </c>
      <c r="E55" s="53" t="n"/>
      <c r="F55" s="54" t="n"/>
      <c r="G55" s="42">
        <f>IMAGE("https://liskibruh.github.io/l4_data_sheets_table_images_mapper/l4_problematic_frames/media/image75.png")</f>
        <v/>
      </c>
      <c r="H55" s="42" t="n"/>
      <c r="I55" s="7" t="inlineStr">
        <is>
          <t>Wrong truck orientation and missed truck detections</t>
        </is>
      </c>
    </row>
    <row r="56" ht="29.25" customHeight="1" thickBot="1">
      <c r="A56" s="27" t="inlineStr">
        <is>
          <t>2026-03-13_03-03-32</t>
        </is>
      </c>
      <c r="B56" s="7" t="inlineStr">
        <is>
          <t>1773371328704_1773371348604</t>
        </is>
      </c>
      <c r="C56" s="16" t="inlineStr">
        <is>
          <t>1773371344005.png - 1773371344904.png</t>
        </is>
      </c>
      <c r="D56" s="56">
        <f>IMAGE("https://liskibruh.github.io/l4_data_sheets_table_images_mapper/l4_problematic_frames/media/image76.png")</f>
        <v/>
      </c>
      <c r="E56" s="53" t="n"/>
      <c r="F56" s="54" t="n"/>
      <c r="G56" s="42">
        <f>IMAGE("https://liskibruh.github.io/l4_data_sheets_table_images_mapper/l4_problematic_frames/media/image77.png")</f>
        <v/>
      </c>
      <c r="H56" s="42" t="n"/>
      <c r="I56" s="7" t="inlineStr">
        <is>
          <t>Missed truck detections</t>
        </is>
      </c>
    </row>
    <row r="57" ht="29.25" customHeight="1" thickBot="1">
      <c r="A57" s="27" t="inlineStr">
        <is>
          <t>2026-03-13_03-03-32</t>
        </is>
      </c>
      <c r="B57" s="7" t="inlineStr">
        <is>
          <t>1773371328704_1773371348604</t>
        </is>
      </c>
      <c r="C57" s="16" t="inlineStr">
        <is>
          <t>1773371349705.png - 1773371350904.png</t>
        </is>
      </c>
      <c r="D57" s="56">
        <f>IMAGE("https://liskibruh.github.io/l4_data_sheets_table_images_mapper/l4_problematic_frames/media/image78.png")</f>
        <v/>
      </c>
      <c r="E57" s="53" t="n"/>
      <c r="F57" s="54" t="n"/>
      <c r="G57" s="42">
        <f>IMAGE("https://liskibruh.github.io/l4_data_sheets_table_images_mapper/l4_problematic_frames/media/image79.png")</f>
        <v/>
      </c>
      <c r="H57" s="42" t="n"/>
      <c r="I57" s="7" t="inlineStr">
        <is>
          <t>Missed truck detection</t>
        </is>
      </c>
    </row>
    <row r="58" ht="29.25" customHeight="1" thickBot="1">
      <c r="A58" s="27" t="inlineStr">
        <is>
          <t>2026-03-13_03-03-32</t>
        </is>
      </c>
      <c r="B58" s="7" t="inlineStr">
        <is>
          <t>1773371328704_1773371348604</t>
        </is>
      </c>
      <c r="C58" s="16" t="inlineStr">
        <is>
          <t>1773371351804.png - 1773371353905.png</t>
        </is>
      </c>
      <c r="D58" s="56">
        <f>IMAGE("https://liskibruh.github.io/l4_data_sheets_table_images_mapper/l4_problematic_frames/media/image80.png")</f>
        <v/>
      </c>
      <c r="E58" s="53" t="n"/>
      <c r="F58" s="54" t="n"/>
      <c r="G58" s="42">
        <f>IMAGE("https://liskibruh.github.io/l4_data_sheets_table_images_mapper/l4_problematic_frames/media/image81.png")</f>
        <v/>
      </c>
      <c r="H58" s="42" t="n"/>
      <c r="I58" s="7" t="inlineStr">
        <is>
          <t>Missing truck detection</t>
        </is>
      </c>
    </row>
    <row r="59" ht="29.25" customHeight="1" thickBot="1">
      <c r="A59" s="27" t="inlineStr">
        <is>
          <t>2026-03-13_03-03-32</t>
        </is>
      </c>
      <c r="B59" s="7" t="inlineStr">
        <is>
          <t>1773371348704_1773371368605</t>
        </is>
      </c>
      <c r="C59" s="16" t="inlineStr">
        <is>
          <t>1773371354005.png - 1773371355005.png</t>
        </is>
      </c>
      <c r="D59" s="56">
        <f>IMAGE("https://liskibruh.github.io/l4_data_sheets_table_images_mapper/l4_problematic_frames/media/image82.png")</f>
        <v/>
      </c>
      <c r="E59" s="53" t="n"/>
      <c r="F59" s="54" t="n"/>
      <c r="G59" s="42">
        <f>IMAGE("https://liskibruh.github.io/l4_data_sheets_table_images_mapper/l4_problematic_frames/media/image83.png")</f>
        <v/>
      </c>
      <c r="H59" s="42" t="n"/>
      <c r="I59" s="7" t="inlineStr">
        <is>
          <t>Missing truck detection</t>
        </is>
      </c>
    </row>
    <row r="60" ht="29.25" customHeight="1" thickBot="1">
      <c r="A60" s="27" t="inlineStr">
        <is>
          <t>2026-03-13_03-03-32</t>
        </is>
      </c>
      <c r="B60" s="7" t="inlineStr">
        <is>
          <t>1773371348704_1773371368605</t>
        </is>
      </c>
      <c r="C60" s="16" t="inlineStr">
        <is>
          <t>1773371357305.png - 1773371358305.png</t>
        </is>
      </c>
      <c r="D60" s="56">
        <f>IMAGE("https://liskibruh.github.io/l4_data_sheets_table_images_mapper/l4_problematic_frames/media/image84.png")</f>
        <v/>
      </c>
      <c r="E60" s="53" t="n"/>
      <c r="F60" s="54" t="n"/>
      <c r="G60" s="42">
        <f>IMAGE("https://liskibruh.github.io/l4_data_sheets_table_images_mapper/l4_problematic_frames/media/image85.png")</f>
        <v/>
      </c>
      <c r="H60" s="42" t="n"/>
      <c r="I60" s="7" t="inlineStr">
        <is>
          <t>Missing truck detection</t>
        </is>
      </c>
    </row>
    <row r="61" ht="29.25" customHeight="1" thickBot="1">
      <c r="A61" s="27" t="inlineStr">
        <is>
          <t>2026-03-13_03-03-32</t>
        </is>
      </c>
      <c r="B61" s="7" t="inlineStr">
        <is>
          <t>1773371348704_1773371368605</t>
        </is>
      </c>
      <c r="C61" s="16" t="inlineStr">
        <is>
          <t>1773371359704.png</t>
        </is>
      </c>
      <c r="D61" s="56">
        <f>IMAGE("https://liskibruh.github.io/l4_data_sheets_table_images_mapper/l4_problematic_frames/media/image86.png")</f>
        <v/>
      </c>
      <c r="E61" s="53" t="n"/>
      <c r="F61" s="54" t="n"/>
      <c r="G61" s="42" t="n"/>
      <c r="H61" s="42" t="n"/>
      <c r="I61" s="7" t="inlineStr">
        <is>
          <t>Missing truck detection</t>
        </is>
      </c>
    </row>
    <row r="62" ht="29.25" customHeight="1" thickBot="1">
      <c r="A62" s="27" t="inlineStr">
        <is>
          <t>2026-03-13_03-03-32</t>
        </is>
      </c>
      <c r="B62" s="7" t="inlineStr">
        <is>
          <t>1773371348704_1773371368605</t>
        </is>
      </c>
      <c r="C62" s="16" t="inlineStr">
        <is>
          <t>1773371364104.png</t>
        </is>
      </c>
      <c r="D62" s="56">
        <f>IMAGE("https://liskibruh.github.io/l4_data_sheets_table_images_mapper/l4_problematic_frames/media/image87.png")</f>
        <v/>
      </c>
      <c r="E62" s="53" t="n"/>
      <c r="F62" s="54" t="n"/>
      <c r="G62" s="42" t="n"/>
      <c r="H62" s="42" t="n"/>
      <c r="I62" s="7" t="inlineStr">
        <is>
          <t>Missing truck detection</t>
        </is>
      </c>
    </row>
    <row r="63" ht="29.25" customHeight="1" thickBot="1">
      <c r="A63" s="27" t="inlineStr">
        <is>
          <t>2026-03-13_03-03-32</t>
        </is>
      </c>
      <c r="B63" s="7" t="inlineStr">
        <is>
          <t>1773371348704_1773371368605</t>
        </is>
      </c>
      <c r="C63" s="16" t="inlineStr">
        <is>
          <t>1773371364505.png</t>
        </is>
      </c>
      <c r="D63" s="56">
        <f>IMAGE("https://liskibruh.github.io/l4_data_sheets_table_images_mapper/l4_problematic_frames/media/image88.png")</f>
        <v/>
      </c>
      <c r="E63" s="53" t="n"/>
      <c r="F63" s="54" t="n"/>
      <c r="G63" s="42" t="n"/>
      <c r="H63" s="42" t="n"/>
      <c r="I63" s="7" t="inlineStr">
        <is>
          <t>Missing truck detection</t>
        </is>
      </c>
    </row>
    <row r="64" ht="29.25" customHeight="1" thickBot="1">
      <c r="A64" s="27" t="inlineStr">
        <is>
          <t>2026-03-13_03-03-32</t>
        </is>
      </c>
      <c r="B64" s="7" t="inlineStr">
        <is>
          <t>1773371348704_1773371368605</t>
        </is>
      </c>
      <c r="C64" s="16" t="inlineStr">
        <is>
          <t>1773371364805.png - 1773371365704.png</t>
        </is>
      </c>
      <c r="D64" s="56">
        <f>IMAGE("https://liskibruh.github.io/l4_data_sheets_table_images_mapper/l4_problematic_frames/media/image89.png")</f>
        <v/>
      </c>
      <c r="E64" s="53" t="n"/>
      <c r="F64" s="54" t="n"/>
      <c r="G64" s="42">
        <f>IMAGE("https://liskibruh.github.io/l4_data_sheets_table_images_mapper/l4_problematic_frames/media/image90.png")</f>
        <v/>
      </c>
      <c r="H64" s="42" t="n"/>
      <c r="I64" s="7" t="inlineStr">
        <is>
          <t>Missing truck detection</t>
        </is>
      </c>
    </row>
    <row r="65" ht="29.25" customHeight="1" thickBot="1">
      <c r="A65" s="27" t="inlineStr">
        <is>
          <t>2026-03-13_03-03-32</t>
        </is>
      </c>
      <c r="B65" s="7" t="inlineStr">
        <is>
          <t>1773371348704_1773371368605</t>
        </is>
      </c>
      <c r="C65" s="16" t="inlineStr">
        <is>
          <t>1773371368004.png - 1773371368605.png</t>
        </is>
      </c>
      <c r="D65" s="56">
        <f>IMAGE("https://liskibruh.github.io/l4_data_sheets_table_images_mapper/l4_problematic_frames/media/image91.png")</f>
        <v/>
      </c>
      <c r="E65" s="53" t="n"/>
      <c r="F65" s="54" t="n"/>
      <c r="G65" s="42">
        <f>IMAGE("https://liskibruh.github.io/l4_data_sheets_table_images_mapper/l4_problematic_frames/media/image92.png")</f>
        <v/>
      </c>
      <c r="H65" s="42" t="n"/>
      <c r="I65" s="7" t="inlineStr">
        <is>
          <t>Missing truck detection</t>
        </is>
      </c>
    </row>
    <row r="66" ht="29.25" customHeight="1" thickBot="1">
      <c r="A66" s="27" t="inlineStr">
        <is>
          <t>2026-03-13_03-03-32</t>
        </is>
      </c>
      <c r="B66" s="7" t="inlineStr">
        <is>
          <t>1773371348704_1773371368605</t>
        </is>
      </c>
      <c r="C66" s="16" t="inlineStr">
        <is>
          <t>1773371370905.png - 1773371371805.png</t>
        </is>
      </c>
      <c r="D66" s="56">
        <f>IMAGE("https://liskibruh.github.io/l4_data_sheets_table_images_mapper/l4_problematic_frames/media/image93.png")</f>
        <v/>
      </c>
      <c r="E66" s="53" t="n"/>
      <c r="F66" s="54" t="n"/>
      <c r="G66" s="42">
        <f>IMAGE("https://liskibruh.github.io/l4_data_sheets_table_images_mapper/l4_problematic_frames/media/image94.png")</f>
        <v/>
      </c>
      <c r="H66" s="42" t="n"/>
      <c r="I66" s="7" t="inlineStr">
        <is>
          <t>Missing truck detection</t>
        </is>
      </c>
    </row>
    <row r="67" ht="41.25" customHeight="1">
      <c r="A67" s="1" t="inlineStr">
        <is>
          <t>2026-03-13_03-03-32</t>
        </is>
      </c>
      <c r="B67" s="1" t="inlineStr">
        <is>
          <t>1773371348704_1773371368605</t>
        </is>
      </c>
      <c r="C67" s="55" t="inlineStr">
        <is>
          <t>1773371372804.png</t>
        </is>
      </c>
      <c r="D67" s="56">
        <f>IMAGE("https://liskibruh.github.io/l4_data_sheets_table_images_mapper/l4_problematic_frames/media/image95.png")</f>
        <v/>
      </c>
      <c r="E67" s="57" t="n"/>
      <c r="F67" s="58" t="n"/>
      <c r="G67" s="56" t="n"/>
      <c r="H67" s="56" t="n"/>
      <c r="I67" s="1" t="inlineStr">
        <is>
          <t>Missing truck detection</t>
        </is>
      </c>
    </row>
    <row r="68" ht="15.75" customHeight="1" thickBot="1">
      <c r="A68" s="59" t="n"/>
      <c r="B68" s="59" t="n"/>
      <c r="C68" s="59" t="n"/>
      <c r="D68" s="60" t="n"/>
      <c r="E68" s="61" t="n"/>
      <c r="F68" s="62" t="n"/>
      <c r="G68" s="59" t="n"/>
      <c r="H68" s="59" t="n"/>
      <c r="I68" s="59" t="n"/>
    </row>
    <row r="69" ht="29.25" customHeight="1" thickBot="1">
      <c r="A69" s="1" t="inlineStr">
        <is>
          <t>2026-03-13_03-03-32</t>
        </is>
      </c>
      <c r="B69" s="2" t="inlineStr">
        <is>
          <t>1773371649503_1773371669405</t>
        </is>
      </c>
      <c r="C69" s="17" t="n">
        <v>1773371662005</v>
      </c>
      <c r="D69" s="45">
        <f>IMAGE("https://liskibruh.github.io/l4_data_sheets_table_images_mapper/l4_problematic_frames/media/image96.png")</f>
        <v/>
      </c>
      <c r="E69" s="45" t="n"/>
      <c r="F69" s="45" t="n"/>
      <c r="G69" s="2" t="n"/>
      <c r="I69" s="2" t="inlineStr">
        <is>
          <t>Missing static object</t>
        </is>
      </c>
    </row>
    <row r="70" ht="27" customHeight="1">
      <c r="A70" s="1" t="inlineStr">
        <is>
          <t>2026-03-13_03-03-32</t>
        </is>
      </c>
      <c r="B70" s="1" t="inlineStr">
        <is>
          <t>1773371649503_1773371669405</t>
        </is>
      </c>
      <c r="C70" s="18" t="n">
        <v>1773371662305</v>
      </c>
      <c r="D70" s="56">
        <f>IMAGE("https://liskibruh.github.io/l4_data_sheets_table_images_mapper/l4_problematic_frames/media/image97.png")</f>
        <v/>
      </c>
      <c r="E70" s="56">
        <f>IMAGE("https://liskibruh.github.io/l4_data_sheets_table_images_mapper/l4_problematic_frames/media/image98.png")</f>
        <v/>
      </c>
      <c r="F70" s="56" t="n"/>
      <c r="G70" s="1" t="n"/>
      <c r="I70" s="1" t="inlineStr">
        <is>
          <t>Missing static object</t>
        </is>
      </c>
    </row>
    <row r="71" ht="15.75" customHeight="1" thickBot="1">
      <c r="A71" s="59" t="n"/>
      <c r="B71" s="59" t="n"/>
      <c r="C71" s="16" t="n">
        <v>1773371662405</v>
      </c>
      <c r="D71" s="59" t="n"/>
      <c r="E71" s="59" t="n"/>
      <c r="F71" s="59" t="n"/>
      <c r="G71" s="59" t="n"/>
      <c r="I71" s="59" t="n"/>
    </row>
    <row r="72" ht="27" customHeight="1">
      <c r="A72" s="1" t="inlineStr">
        <is>
          <t>2026-03-13_03-03-32</t>
        </is>
      </c>
      <c r="B72" s="1" t="inlineStr">
        <is>
          <t>1773371649503_1773371669405</t>
        </is>
      </c>
      <c r="C72" s="55" t="n">
        <v>1773371663005</v>
      </c>
      <c r="D72" s="56">
        <f>IMAGE("https://liskibruh.github.io/l4_data_sheets_table_images_mapper/l4_problematic_frames/media/image99.png")</f>
        <v/>
      </c>
      <c r="E72" s="56" t="n"/>
      <c r="F72" s="56" t="n"/>
      <c r="G72" s="1" t="n"/>
      <c r="I72" s="1" t="inlineStr">
        <is>
          <t>Missing static object</t>
        </is>
      </c>
    </row>
    <row r="73" ht="15.75" customHeight="1" thickBot="1">
      <c r="A73" s="59" t="n"/>
      <c r="B73" s="59" t="n"/>
      <c r="C73" s="59" t="n"/>
      <c r="D73" s="59" t="n"/>
      <c r="E73" s="59" t="n"/>
      <c r="F73" s="59" t="n"/>
      <c r="G73" s="59" t="n"/>
      <c r="I73" s="59" t="n"/>
    </row>
    <row r="74" ht="29.25" customHeight="1" thickBot="1">
      <c r="A74" s="27" t="inlineStr">
        <is>
          <t>2026-03-13_03-03-32</t>
        </is>
      </c>
      <c r="B74" s="7" t="inlineStr">
        <is>
          <t>1773371649503_1773371669405</t>
        </is>
      </c>
      <c r="C74" s="16" t="n">
        <v>1773371663804</v>
      </c>
      <c r="D74" s="42">
        <f>IMAGE("https://liskibruh.github.io/l4_data_sheets_table_images_mapper/l4_problematic_frames/media/image100.png")</f>
        <v/>
      </c>
      <c r="E74" s="42" t="n"/>
      <c r="F74" s="42" t="n"/>
      <c r="G74" s="7" t="n"/>
      <c r="I74" s="7" t="inlineStr">
        <is>
          <t>Missing static object</t>
        </is>
      </c>
    </row>
    <row r="75" ht="29.25" customHeight="1" thickBot="1">
      <c r="A75" s="27" t="inlineStr">
        <is>
          <t>2026-03-13_03-03-32</t>
        </is>
      </c>
      <c r="B75" s="7" t="inlineStr">
        <is>
          <t>1773371649503_1773371669405</t>
        </is>
      </c>
      <c r="C75" s="16" t="n">
        <v>1773371664304</v>
      </c>
      <c r="D75" s="42">
        <f>IMAGE("https://liskibruh.github.io/l4_data_sheets_table_images_mapper/l4_problematic_frames/media/image101.png")</f>
        <v/>
      </c>
      <c r="E75" s="42" t="n"/>
      <c r="F75" s="42" t="n"/>
      <c r="G75" s="7" t="n"/>
      <c r="I75" s="7" t="inlineStr">
        <is>
          <t>Missing static object</t>
        </is>
      </c>
    </row>
    <row r="76" ht="27" customHeight="1">
      <c r="A76" s="1" t="inlineStr">
        <is>
          <t>2026-03-13_03-03-32</t>
        </is>
      </c>
      <c r="B76" s="1" t="inlineStr">
        <is>
          <t>1773371649503_1773371669405</t>
        </is>
      </c>
      <c r="C76" s="18" t="n">
        <v>1773371665004</v>
      </c>
      <c r="D76" s="56">
        <f>IMAGE("https://liskibruh.github.io/l4_data_sheets_table_images_mapper/l4_problematic_frames/media/image102.png")</f>
        <v/>
      </c>
      <c r="E76" s="56">
        <f>IMAGE("https://liskibruh.github.io/l4_data_sheets_table_images_mapper/l4_problematic_frames/media/image103.png")</f>
        <v/>
      </c>
      <c r="F76" s="56" t="n"/>
      <c r="G76" s="1" t="n"/>
      <c r="I76" s="1" t="inlineStr">
        <is>
          <t>Missing static object</t>
        </is>
      </c>
    </row>
    <row r="77" ht="15.75" customHeight="1" thickBot="1">
      <c r="A77" s="59" t="n"/>
      <c r="B77" s="59" t="n"/>
      <c r="C77" s="16" t="n">
        <v>1773371665104</v>
      </c>
      <c r="D77" s="59" t="n"/>
      <c r="E77" s="59" t="n"/>
      <c r="F77" s="59" t="n"/>
      <c r="G77" s="59" t="n"/>
      <c r="I77" s="59" t="n"/>
    </row>
    <row r="78" ht="29.25" customHeight="1" thickBot="1">
      <c r="A78" s="27" t="inlineStr">
        <is>
          <t>2026-03-13_03-03-32</t>
        </is>
      </c>
      <c r="B78" s="7" t="inlineStr">
        <is>
          <t>1773371649503_1773371669405</t>
        </is>
      </c>
      <c r="C78" s="16" t="inlineStr">
        <is>
          <t>1773371665204 - 1773371665605</t>
        </is>
      </c>
      <c r="D78" s="42">
        <f>IMAGE("https://liskibruh.github.io/l4_data_sheets_table_images_mapper/l4_problematic_frames/media/image104.png")</f>
        <v/>
      </c>
      <c r="E78" s="42">
        <f>IMAGE("https://liskibruh.github.io/l4_data_sheets_table_images_mapper/l4_problematic_frames/media/image105.png")</f>
        <v/>
      </c>
      <c r="F78" s="42" t="n"/>
      <c r="G78" s="7" t="n"/>
      <c r="I78" s="7" t="inlineStr">
        <is>
          <t>Missing static object (range)</t>
        </is>
      </c>
    </row>
    <row r="79" ht="29.25" customHeight="1" thickBot="1">
      <c r="A79" s="27" t="inlineStr">
        <is>
          <t>2026-03-13_03-03-32</t>
        </is>
      </c>
      <c r="B79" s="7" t="inlineStr">
        <is>
          <t>1773371649503_1773371669405</t>
        </is>
      </c>
      <c r="C79" s="16" t="inlineStr">
        <is>
          <t>1773371665805 - 1773371666105</t>
        </is>
      </c>
      <c r="D79" s="42">
        <f>IMAGE("https://liskibruh.github.io/l4_data_sheets_table_images_mapper/l4_problematic_frames/media/image106.png")</f>
        <v/>
      </c>
      <c r="E79" s="42">
        <f>IMAGE("https://liskibruh.github.io/l4_data_sheets_table_images_mapper/l4_problematic_frames/media/image107.png")</f>
        <v/>
      </c>
      <c r="F79" s="42" t="n"/>
      <c r="G79" s="7" t="n"/>
      <c r="I79" s="7" t="inlineStr">
        <is>
          <t>Missing static object (range)</t>
        </is>
      </c>
    </row>
    <row r="80" ht="29.25" customHeight="1" thickBot="1">
      <c r="A80" s="27" t="inlineStr">
        <is>
          <t>2026-03-13_03-03-32</t>
        </is>
      </c>
      <c r="B80" s="7" t="inlineStr">
        <is>
          <t>1773371649503_1773371669405</t>
        </is>
      </c>
      <c r="C80" s="16" t="n">
        <v>1773371666504</v>
      </c>
      <c r="D80" s="42">
        <f>IMAGE("https://liskibruh.github.io/l4_data_sheets_table_images_mapper/l4_problematic_frames/media/image108.png")</f>
        <v/>
      </c>
      <c r="E80" s="42" t="n"/>
      <c r="F80" s="42" t="n"/>
      <c r="G80" s="7" t="n"/>
      <c r="I80" s="7" t="inlineStr">
        <is>
          <t>Missing static object</t>
        </is>
      </c>
    </row>
    <row r="81" ht="41.25" customHeight="1">
      <c r="A81" s="1" t="inlineStr">
        <is>
          <t>2026-03-13_03-03-32</t>
        </is>
      </c>
      <c r="B81" s="1" t="inlineStr">
        <is>
          <t>1773371669505_1773371689504</t>
        </is>
      </c>
      <c r="C81" s="18" t="n">
        <v>1773371672003</v>
      </c>
      <c r="D81" s="56">
        <f>IMAGE("https://liskibruh.github.io/l4_data_sheets_table_images_mapper/l4_problematic_frames/media/image109.png")</f>
        <v/>
      </c>
      <c r="E81" s="56">
        <f>IMAGE("https://liskibruh.github.io/l4_data_sheets_table_images_mapper/l4_problematic_frames/media/image110.png")</f>
        <v/>
      </c>
      <c r="F81" s="56" t="n"/>
      <c r="G81" s="1" t="n"/>
      <c r="I81" s="1" t="inlineStr">
        <is>
          <t>Static object (false positive)</t>
        </is>
      </c>
    </row>
    <row r="82" ht="15.75" customHeight="1" thickBot="1">
      <c r="A82" s="59" t="n"/>
      <c r="B82" s="59" t="n"/>
      <c r="C82" s="16" t="n">
        <v>1773371672603</v>
      </c>
      <c r="D82" s="59" t="n"/>
      <c r="E82" s="59" t="n"/>
      <c r="F82" s="59" t="n"/>
      <c r="G82" s="59" t="n"/>
      <c r="I82" s="59" t="n"/>
    </row>
    <row r="83" ht="41.25" customHeight="1">
      <c r="A83" s="1" t="inlineStr">
        <is>
          <t>2026-03-13_03-03-32</t>
        </is>
      </c>
      <c r="B83" s="1" t="inlineStr">
        <is>
          <t>1773371709605_1773371729604</t>
        </is>
      </c>
      <c r="C83" s="55" t="inlineStr">
        <is>
          <t>1773371727505 - 1773371728604</t>
        </is>
      </c>
      <c r="D83" s="56">
        <f>IMAGE("https://liskibruh.github.io/l4_data_sheets_table_images_mapper/l4_problematic_frames/media/image111.png")</f>
        <v/>
      </c>
      <c r="E83" s="56">
        <f>IMAGE("https://liskibruh.github.io/l4_data_sheets_table_images_mapper/l4_problematic_frames/media/image112.png")</f>
        <v/>
      </c>
      <c r="F83" s="56" t="n"/>
      <c r="G83" s="1" t="n"/>
      <c r="I83" s="1" t="inlineStr">
        <is>
          <t>Missing static object (range)</t>
        </is>
      </c>
    </row>
    <row r="84" ht="15.75" customHeight="1" thickBot="1">
      <c r="A84" s="59" t="n"/>
      <c r="B84" s="59" t="n"/>
      <c r="C84" s="59" t="n"/>
      <c r="D84" s="59" t="n"/>
      <c r="E84" s="59" t="n"/>
      <c r="F84" s="59" t="n"/>
      <c r="G84" s="59" t="n"/>
      <c r="I84" s="59" t="n"/>
    </row>
    <row r="85" ht="27" customHeight="1">
      <c r="A85" s="1" t="inlineStr">
        <is>
          <t>2026-03-13_03-03-32</t>
        </is>
      </c>
      <c r="B85" s="1" t="inlineStr">
        <is>
          <t>1773371729704_1773371749605</t>
        </is>
      </c>
      <c r="C85" s="18" t="inlineStr">
        <is>
          <t xml:space="preserve">1773371729704 - </t>
        </is>
      </c>
      <c r="D85" s="56">
        <f>IMAGE("https://liskibruh.github.io/l4_data_sheets_table_images_mapper/l4_problematic_frames/media/image113.png")</f>
        <v/>
      </c>
      <c r="E85" s="56">
        <f>IMAGE("https://liskibruh.github.io/l4_data_sheets_table_images_mapper/l4_problematic_frames/media/image114.png")</f>
        <v/>
      </c>
      <c r="F85" s="56" t="n"/>
      <c r="G85" s="1" t="n"/>
      <c r="I85" s="1" t="inlineStr">
        <is>
          <t>Missing static objects</t>
        </is>
      </c>
    </row>
    <row r="86" ht="15.75" customHeight="1" thickBot="1">
      <c r="A86" s="59" t="n"/>
      <c r="B86" s="59" t="n"/>
      <c r="C86" s="16" t="n">
        <v>1773371730404</v>
      </c>
      <c r="D86" s="59" t="n"/>
      <c r="E86" s="59" t="n"/>
      <c r="F86" s="59" t="n"/>
      <c r="G86" s="59" t="n"/>
      <c r="I86" s="59" t="n"/>
    </row>
    <row r="87" ht="29.25" customHeight="1" thickBot="1">
      <c r="A87" s="27" t="inlineStr">
        <is>
          <t>2026-03-13_03-03-32</t>
        </is>
      </c>
      <c r="B87" s="7" t="inlineStr">
        <is>
          <t>1773371729704_1773371749605</t>
        </is>
      </c>
      <c r="C87" s="16" t="inlineStr">
        <is>
          <t>1773371733604 - 1773371735704</t>
        </is>
      </c>
      <c r="D87" s="42">
        <f>IMAGE("https://liskibruh.github.io/l4_data_sheets_table_images_mapper/l4_problematic_frames/media/image115.png")</f>
        <v/>
      </c>
      <c r="E87" s="42">
        <f>IMAGE("https://liskibruh.github.io/l4_data_sheets_table_images_mapper/l4_problematic_frames/media/image116.png")</f>
        <v/>
      </c>
      <c r="F87" s="42" t="n"/>
      <c r="G87" s="7" t="n"/>
      <c r="I87" s="7" t="inlineStr">
        <is>
          <t>Missing static object</t>
        </is>
      </c>
    </row>
    <row r="88" ht="16.5" customHeight="1" thickBot="1">
      <c r="A88" s="27" t="inlineStr">
        <is>
          <t>2026-03-13_03-03-32</t>
        </is>
      </c>
      <c r="B88" s="7" t="inlineStr">
        <is>
          <t>1773371729704_1773371749605</t>
        </is>
      </c>
      <c r="C88" s="16" t="inlineStr">
        <is>
          <t>1773371734705 - 1773371735605</t>
        </is>
      </c>
      <c r="D88" s="42">
        <f>IMAGE("https://liskibruh.github.io/l4_data_sheets_table_images_mapper/l4_problematic_frames/media/image117.png")</f>
        <v/>
      </c>
      <c r="E88" s="42">
        <f>IMAGE("https://liskibruh.github.io/l4_data_sheets_table_images_mapper/l4_problematic_frames/media/image118.png")</f>
        <v/>
      </c>
      <c r="F88" s="42" t="n"/>
      <c r="G88" s="7" t="n"/>
      <c r="I88" s="7" t="inlineStr">
        <is>
          <t>Missing trucks</t>
        </is>
      </c>
    </row>
    <row r="89" ht="29.25" customHeight="1" thickBot="1">
      <c r="A89" s="27" t="inlineStr">
        <is>
          <t>2026-03-13_03-03-32</t>
        </is>
      </c>
      <c r="B89" s="7" t="inlineStr">
        <is>
          <t>1773371729704_1773371749605</t>
        </is>
      </c>
      <c r="C89" s="16" t="inlineStr">
        <is>
          <t>1773371742605 - 1773371743704</t>
        </is>
      </c>
      <c r="D89" s="42">
        <f>IMAGE("https://liskibruh.github.io/l4_data_sheets_table_images_mapper/l4_problematic_frames/media/image119.png")</f>
        <v/>
      </c>
      <c r="E89" s="42">
        <f>IMAGE("https://liskibruh.github.io/l4_data_sheets_table_images_mapper/l4_problematic_frames/media/image120.png")</f>
        <v/>
      </c>
      <c r="F89" s="42" t="n"/>
      <c r="G89" s="7" t="n"/>
      <c r="I89" s="7" t="inlineStr">
        <is>
          <t>Missing static object</t>
        </is>
      </c>
    </row>
    <row r="90" ht="29.25" customHeight="1" thickBot="1">
      <c r="A90" s="27" t="inlineStr">
        <is>
          <t>2026-03-13_03-03-32</t>
        </is>
      </c>
      <c r="B90" s="7" t="inlineStr">
        <is>
          <t>1773371729704_1773371749605</t>
        </is>
      </c>
      <c r="C90" s="16" t="inlineStr">
        <is>
          <t>1773371743005 - 1773371744704</t>
        </is>
      </c>
      <c r="D90" s="42">
        <f>IMAGE("https://liskibruh.github.io/l4_data_sheets_table_images_mapper/l4_problematic_frames/media/image121.png")</f>
        <v/>
      </c>
      <c r="E90" s="42">
        <f>IMAGE("https://liskibruh.github.io/l4_data_sheets_table_images_mapper/l4_problematic_frames/media/image122.png")</f>
        <v/>
      </c>
      <c r="F90" s="42" t="n"/>
      <c r="G90" s="7" t="n"/>
      <c r="I90" s="7" t="inlineStr">
        <is>
          <t>False positive (static objects)</t>
        </is>
      </c>
    </row>
    <row r="91" ht="41.25" customHeight="1">
      <c r="A91" s="1" t="inlineStr">
        <is>
          <t>2026-03-13_03-03-32</t>
        </is>
      </c>
      <c r="B91" s="1" t="inlineStr">
        <is>
          <t>1773371729704_1773371749605</t>
        </is>
      </c>
      <c r="C91" s="55" t="inlineStr">
        <is>
          <t xml:space="preserve">1773371748905 - 1773371749605 </t>
        </is>
      </c>
      <c r="D91" s="56">
        <f>IMAGE("https://liskibruh.github.io/l4_data_sheets_table_images_mapper/l4_problematic_frames/media/image123.png")</f>
        <v/>
      </c>
      <c r="E91" s="56">
        <f>IMAGE("https://liskibruh.github.io/l4_data_sheets_table_images_mapper/l4_problematic_frames/media/image124.png")</f>
        <v/>
      </c>
      <c r="F91" s="56" t="n"/>
      <c r="G91" s="1" t="n"/>
      <c r="I91" s="1" t="inlineStr">
        <is>
          <t>False positive (static object)</t>
        </is>
      </c>
    </row>
    <row r="92" ht="15.75" customHeight="1" thickBot="1">
      <c r="A92" s="59" t="n"/>
      <c r="B92" s="59" t="n"/>
      <c r="C92" s="59" t="n"/>
      <c r="D92" s="59" t="n"/>
      <c r="E92" s="59" t="n"/>
      <c r="F92" s="59" t="n"/>
      <c r="G92" s="59" t="n"/>
      <c r="I92" s="59" t="n"/>
    </row>
    <row r="93" ht="16.5" customHeight="1" thickBot="1">
      <c r="A93" s="27" t="inlineStr">
        <is>
          <t>2026-03-13_03-03-32</t>
        </is>
      </c>
      <c r="B93" s="7" t="inlineStr">
        <is>
          <t>1773371749705_1773371769703</t>
        </is>
      </c>
      <c r="C93" s="16" t="n">
        <v>1773371751204</v>
      </c>
      <c r="D93" s="42">
        <f>IMAGE("https://liskibruh.github.io/l4_data_sheets_table_images_mapper/l4_problematic_frames/media/image125.png")</f>
        <v/>
      </c>
      <c r="E93" s="42" t="n"/>
      <c r="F93" s="42" t="n"/>
      <c r="G93" s="7" t="n"/>
      <c r="I93" s="7" t="inlineStr">
        <is>
          <t>Missing car</t>
        </is>
      </c>
    </row>
    <row r="94">
      <c r="A94" s="1" t="inlineStr">
        <is>
          <t>2026-03-13_03-03-32</t>
        </is>
      </c>
      <c r="B94" s="1" t="inlineStr">
        <is>
          <t>1773371749705_1773371769703</t>
        </is>
      </c>
      <c r="C94" s="18" t="n">
        <v>1773371766904</v>
      </c>
      <c r="D94" s="56">
        <f>IMAGE("https://liskibruh.github.io/l4_data_sheets_table_images_mapper/l4_problematic_frames/media/image126.png")</f>
        <v/>
      </c>
      <c r="E94" s="56">
        <f>IMAGE("https://liskibruh.github.io/l4_data_sheets_table_images_mapper/l4_problematic_frames/media/image127.png")</f>
        <v/>
      </c>
      <c r="F94" s="56">
        <f>IMAGE("https://liskibruh.github.io/l4_data_sheets_table_images_mapper/l4_problematic_frames/media/image128.png")</f>
        <v/>
      </c>
      <c r="G94" s="1" t="n"/>
      <c r="I94" s="1" t="inlineStr">
        <is>
          <t>Missing static object</t>
        </is>
      </c>
    </row>
    <row r="95">
      <c r="A95" s="63" t="n"/>
      <c r="B95" s="63" t="n"/>
      <c r="C95" s="18" t="n">
        <v>1773371767104</v>
      </c>
      <c r="D95" s="63" t="n"/>
      <c r="E95" s="63" t="n"/>
      <c r="F95" s="63" t="n"/>
      <c r="G95" s="63" t="n"/>
      <c r="I95" s="63" t="n"/>
    </row>
    <row r="96">
      <c r="A96" s="63" t="n"/>
      <c r="B96" s="63" t="n"/>
      <c r="C96" s="18" t="n">
        <v>1773371767204</v>
      </c>
      <c r="D96" s="63" t="n"/>
      <c r="E96" s="63" t="n"/>
      <c r="F96" s="63" t="n"/>
      <c r="G96" s="63" t="n"/>
      <c r="I96" s="63" t="n"/>
    </row>
    <row r="97" ht="15.75" customHeight="1" thickBot="1">
      <c r="A97" s="59" t="n"/>
      <c r="B97" s="59" t="n"/>
      <c r="C97" s="16" t="inlineStr">
        <is>
          <t>1773371767404 -  1773371769604</t>
        </is>
      </c>
      <c r="D97" s="59" t="n"/>
      <c r="E97" s="59" t="n"/>
      <c r="F97" s="59" t="n"/>
      <c r="G97" s="59" t="n"/>
      <c r="I97" s="59" t="n"/>
    </row>
    <row r="98" ht="15.75" customHeight="1">
      <c r="A98" s="1" t="inlineStr">
        <is>
          <t>2026-03-13_03-03-32</t>
        </is>
      </c>
      <c r="B98" s="1" t="inlineStr">
        <is>
          <t>1773371749705_1773371769703</t>
        </is>
      </c>
      <c r="C98" s="18" t="n">
        <v>1773371768505</v>
      </c>
      <c r="D98" s="56">
        <f>IMAGE("https://liskibruh.github.io/l4_data_sheets_table_images_mapper/l4_problematic_frames/media/image129.png")</f>
        <v/>
      </c>
      <c r="E98" s="56">
        <f>IMAGE("https://liskibruh.github.io/l4_data_sheets_table_images_mapper/l4_problematic_frames/media/image130.png")</f>
        <v/>
      </c>
      <c r="F98" s="56" t="n"/>
      <c r="G98" s="5" t="n"/>
      <c r="I98" s="5" t="n"/>
    </row>
    <row r="99" ht="42.75" customHeight="1">
      <c r="A99" s="63" t="n"/>
      <c r="B99" s="63" t="n"/>
      <c r="C99" s="18" t="n">
        <v>1773371768605</v>
      </c>
      <c r="D99" s="63" t="n"/>
      <c r="E99" s="63" t="n"/>
      <c r="F99" s="63" t="n"/>
      <c r="G99" s="3" t="n"/>
      <c r="I99" s="3" t="inlineStr">
        <is>
          <t>Truck is misclassified as car</t>
        </is>
      </c>
    </row>
    <row r="100" ht="15.75" customHeight="1">
      <c r="A100" s="63" t="n"/>
      <c r="B100" s="63" t="n"/>
      <c r="C100" s="18" t="n">
        <v>1773371768704</v>
      </c>
      <c r="D100" s="63" t="n"/>
      <c r="E100" s="63" t="n"/>
      <c r="F100" s="63" t="n"/>
      <c r="G100" s="5" t="n"/>
      <c r="I100" s="5" t="n"/>
    </row>
    <row r="101" ht="15.75" customHeight="1">
      <c r="A101" s="63" t="n"/>
      <c r="B101" s="63" t="n"/>
      <c r="C101" s="18" t="n">
        <v>1773371768804</v>
      </c>
      <c r="D101" s="63" t="n"/>
      <c r="E101" s="63" t="n"/>
      <c r="F101" s="63" t="n"/>
      <c r="G101" s="5" t="n"/>
      <c r="I101" s="5" t="n"/>
    </row>
    <row r="102">
      <c r="A102" s="63" t="n"/>
      <c r="B102" s="63" t="n"/>
      <c r="C102" s="18" t="n">
        <v>1773371768904</v>
      </c>
      <c r="D102" s="63" t="n"/>
      <c r="E102" s="63" t="n"/>
      <c r="F102" s="63" t="n"/>
      <c r="G102" s="13" t="n"/>
      <c r="I102" s="13" t="n"/>
    </row>
    <row r="103">
      <c r="A103" s="63" t="n"/>
      <c r="B103" s="63" t="n"/>
      <c r="C103" s="18" t="inlineStr">
        <is>
          <t>1773371769005 - 1773371769404</t>
        </is>
      </c>
      <c r="D103" s="63" t="n"/>
      <c r="E103" s="63" t="n"/>
      <c r="F103" s="63" t="n"/>
      <c r="G103" s="13" t="n"/>
      <c r="I103" s="13" t="n"/>
    </row>
    <row r="104" ht="15.75" customHeight="1" thickBot="1">
      <c r="A104" s="59" t="n"/>
      <c r="B104" s="59" t="n"/>
      <c r="C104" s="16" t="n">
        <v>1773371769604</v>
      </c>
      <c r="D104" s="59" t="n"/>
      <c r="E104" s="59" t="n"/>
      <c r="F104" s="59" t="n"/>
      <c r="G104" s="14" t="n"/>
      <c r="I104" s="14" t="n"/>
    </row>
    <row r="105" ht="42.75" customHeight="1">
      <c r="A105" s="1" t="inlineStr">
        <is>
          <t>2026-03-13_03-03-32</t>
        </is>
      </c>
      <c r="B105" s="1" t="inlineStr">
        <is>
          <t>1773371769804_1773371789705</t>
        </is>
      </c>
      <c r="C105" s="18" t="n">
        <v>1773371769804</v>
      </c>
      <c r="D105" s="56">
        <f>IMAGE("https://liskibruh.github.io/l4_data_sheets_table_images_mapper/l4_problematic_frames/media/image131.png")</f>
        <v/>
      </c>
      <c r="E105" s="56" t="n"/>
      <c r="F105" s="56" t="n"/>
      <c r="G105" s="3" t="n"/>
      <c r="I105" s="3" t="inlineStr">
        <is>
          <t>Truck is misclassified as car</t>
        </is>
      </c>
    </row>
    <row r="106" ht="86.25" customHeight="1" thickBot="1">
      <c r="A106" s="59" t="n"/>
      <c r="B106" s="59" t="n"/>
      <c r="C106" s="16" t="inlineStr">
        <is>
          <t>1773371769904 - 1773371770604</t>
        </is>
      </c>
      <c r="D106" s="59" t="n"/>
      <c r="E106" s="59" t="n"/>
      <c r="F106" s="59" t="n"/>
      <c r="G106" s="7" t="n"/>
      <c r="I106" s="7" t="inlineStr">
        <is>
          <t xml:space="preserve">In 1773371770504 car that is being misclassified is missing </t>
        </is>
      </c>
    </row>
    <row r="107" ht="29.25" customHeight="1" thickBot="1">
      <c r="A107" s="27" t="inlineStr">
        <is>
          <t>2026-03-13_03-03-32</t>
        </is>
      </c>
      <c r="B107" s="7" t="inlineStr">
        <is>
          <t>1773371769804_1773371789705</t>
        </is>
      </c>
      <c r="C107" s="16" t="inlineStr">
        <is>
          <t>1773371785504 - 1773371788604</t>
        </is>
      </c>
      <c r="D107" s="42">
        <f>IMAGE("https://liskibruh.github.io/l4_data_sheets_table_images_mapper/l4_problematic_frames/media/image132.png")</f>
        <v/>
      </c>
      <c r="E107" s="42">
        <f>IMAGE("https://liskibruh.github.io/l4_data_sheets_table_images_mapper/l4_problematic_frames/media/image133.png")</f>
        <v/>
      </c>
      <c r="F107" s="42" t="n"/>
      <c r="G107" s="7" t="n"/>
      <c r="I107" s="7" t="inlineStr">
        <is>
          <t>Missing static object (range)</t>
        </is>
      </c>
    </row>
    <row r="108">
      <c r="A108" s="1" t="inlineStr">
        <is>
          <t>2026-03-13_03-03-32</t>
        </is>
      </c>
      <c r="B108" s="1" t="inlineStr">
        <is>
          <t>1773371769804_1773371789705</t>
        </is>
      </c>
      <c r="C108" s="18" t="inlineStr">
        <is>
          <t xml:space="preserve">1773371788704 - </t>
        </is>
      </c>
      <c r="D108" s="56">
        <f>IMAGE("https://liskibruh.github.io/l4_data_sheets_table_images_mapper/l4_problematic_frames/media/image134.png")</f>
        <v/>
      </c>
      <c r="E108" s="56">
        <f>IMAGE("https://liskibruh.github.io/l4_data_sheets_table_images_mapper/l4_problematic_frames/media/image135.png")</f>
        <v/>
      </c>
      <c r="F108" s="56" t="n"/>
      <c r="G108" s="1" t="n"/>
      <c r="I108" s="1" t="inlineStr">
        <is>
          <t>Missing car</t>
        </is>
      </c>
    </row>
    <row r="109" ht="15.75" customHeight="1" thickBot="1">
      <c r="A109" s="59" t="n"/>
      <c r="B109" s="59" t="n"/>
      <c r="C109" s="16" t="n">
        <v>1773371789705</v>
      </c>
      <c r="D109" s="59" t="n"/>
      <c r="E109" s="59" t="n"/>
      <c r="F109" s="59" t="n"/>
      <c r="G109" s="59" t="n"/>
      <c r="I109" s="59" t="n"/>
    </row>
    <row r="110" ht="27" customHeight="1">
      <c r="A110" s="1" t="inlineStr">
        <is>
          <t>2026-03-13_03-03-32</t>
        </is>
      </c>
      <c r="B110" s="1" t="inlineStr">
        <is>
          <t>1773371789905_1773371809904</t>
        </is>
      </c>
      <c r="C110" s="55" t="inlineStr">
        <is>
          <t>1773371789905 - 1773371790904</t>
        </is>
      </c>
      <c r="D110" s="56">
        <f>IMAGE("https://liskibruh.github.io/l4_data_sheets_table_images_mapper/l4_problematic_frames/media/image136.png")</f>
        <v/>
      </c>
      <c r="E110" s="56">
        <f>IMAGE("https://liskibruh.github.io/l4_data_sheets_table_images_mapper/l4_problematic_frames/media/image137.png")</f>
        <v/>
      </c>
      <c r="F110" s="56" t="n"/>
      <c r="G110" s="1" t="n"/>
      <c r="I110" s="1" t="inlineStr">
        <is>
          <t>Missing static object</t>
        </is>
      </c>
    </row>
    <row r="111" ht="15.75" customHeight="1" thickBot="1">
      <c r="A111" s="59" t="n"/>
      <c r="B111" s="59" t="n"/>
      <c r="C111" s="59" t="n"/>
      <c r="D111" s="59" t="n"/>
      <c r="E111" s="59" t="n"/>
      <c r="F111" s="59" t="n"/>
      <c r="G111" s="59" t="n"/>
      <c r="I111" s="59" t="n"/>
    </row>
    <row r="112">
      <c r="A112" s="1" t="inlineStr">
        <is>
          <t>2026-03-13_03-03-32</t>
        </is>
      </c>
      <c r="B112" s="1" t="inlineStr">
        <is>
          <t>1773371789905_1773371809904</t>
        </is>
      </c>
      <c r="C112" s="55" t="inlineStr">
        <is>
          <t>1773371791005 - 1773371791904</t>
        </is>
      </c>
      <c r="D112" s="56">
        <f>IMAGE("https://liskibruh.github.io/l4_data_sheets_table_images_mapper/l4_problematic_frames/media/image138.png")</f>
        <v/>
      </c>
      <c r="E112" s="56">
        <f>IMAGE("https://liskibruh.github.io/l4_data_sheets_table_images_mapper/l4_problematic_frames/media/image139.png")</f>
        <v/>
      </c>
      <c r="F112" s="56" t="n"/>
      <c r="G112" s="1" t="n"/>
      <c r="I112" s="1" t="inlineStr">
        <is>
          <t>Missing truck</t>
        </is>
      </c>
    </row>
    <row r="113" ht="15.75" customHeight="1" thickBot="1">
      <c r="A113" s="59" t="n"/>
      <c r="B113" s="59" t="n"/>
      <c r="C113" s="59" t="n"/>
      <c r="D113" s="59" t="n"/>
      <c r="E113" s="59" t="n"/>
      <c r="F113" s="59" t="n"/>
      <c r="G113" s="59" t="n"/>
      <c r="I113" s="59" t="n"/>
    </row>
    <row r="114" ht="27" customHeight="1">
      <c r="A114" s="1" t="inlineStr">
        <is>
          <t>2026-03-13_03-03-32</t>
        </is>
      </c>
      <c r="B114" s="1" t="inlineStr">
        <is>
          <t>1773371789905_1773371809904</t>
        </is>
      </c>
      <c r="C114" s="18" t="inlineStr">
        <is>
          <t xml:space="preserve">1773371792104 - </t>
        </is>
      </c>
      <c r="D114" s="56">
        <f>IMAGE("https://liskibruh.github.io/l4_data_sheets_table_images_mapper/l4_problematic_frames/media/image140.png")</f>
        <v/>
      </c>
      <c r="E114" s="56">
        <f>IMAGE("https://liskibruh.github.io/l4_data_sheets_table_images_mapper/l4_problematic_frames/media/image141.png")</f>
        <v/>
      </c>
      <c r="F114" s="56" t="n"/>
      <c r="G114" s="1" t="n"/>
      <c r="I114" s="1" t="inlineStr">
        <is>
          <t>Missing static objects</t>
        </is>
      </c>
    </row>
    <row r="115" ht="15.75" customHeight="1" thickBot="1">
      <c r="A115" s="59" t="n"/>
      <c r="B115" s="59" t="n"/>
      <c r="C115" s="16" t="n">
        <v>1773371794804</v>
      </c>
      <c r="D115" s="59" t="n"/>
      <c r="E115" s="59" t="n"/>
      <c r="F115" s="59" t="n"/>
      <c r="G115" s="59" t="n"/>
      <c r="I115" s="59" t="n"/>
    </row>
    <row r="116" ht="55.5" customHeight="1">
      <c r="A116" s="1" t="inlineStr">
        <is>
          <t>2026-03-13_03-03-32</t>
        </is>
      </c>
      <c r="B116" s="1" t="inlineStr">
        <is>
          <t>1773371789905_1773371809904</t>
        </is>
      </c>
      <c r="C116" s="18" t="inlineStr">
        <is>
          <t xml:space="preserve">1773371796104 - </t>
        </is>
      </c>
      <c r="D116" s="56">
        <f>IMAGE("https://liskibruh.github.io/l4_data_sheets_table_images_mapper/l4_problematic_frames/media/image142.png")</f>
        <v/>
      </c>
      <c r="E116" s="56">
        <f>IMAGE("https://liskibruh.github.io/l4_data_sheets_table_images_mapper/l4_problematic_frames/media/image143.png")</f>
        <v/>
      </c>
      <c r="F116" s="56" t="n"/>
      <c r="G116" s="1" t="n"/>
      <c r="I116" s="1" t="inlineStr">
        <is>
          <t>Missing trucks and static objects</t>
        </is>
      </c>
    </row>
    <row r="117" ht="15.75" customHeight="1" thickBot="1">
      <c r="A117" s="59" t="n"/>
      <c r="B117" s="59" t="n"/>
      <c r="C117" s="16" t="n">
        <v>1773371796905</v>
      </c>
      <c r="D117" s="59" t="n"/>
      <c r="E117" s="59" t="n"/>
      <c r="F117" s="59" t="n"/>
      <c r="G117" s="59" t="n"/>
      <c r="I117" s="59" t="n"/>
    </row>
    <row r="118" ht="55.5" customHeight="1">
      <c r="A118" s="1" t="inlineStr">
        <is>
          <t>2026-03-13_03-03-32</t>
        </is>
      </c>
      <c r="B118" s="1" t="inlineStr">
        <is>
          <t>1773371789905_1773371809904</t>
        </is>
      </c>
      <c r="C118" s="18" t="inlineStr">
        <is>
          <t xml:space="preserve">1773371798904 - </t>
        </is>
      </c>
      <c r="D118" s="56">
        <f>IMAGE("https://liskibruh.github.io/l4_data_sheets_table_images_mapper/l4_problematic_frames/media/image144.png")</f>
        <v/>
      </c>
      <c r="E118" s="56">
        <f>IMAGE("https://liskibruh.github.io/l4_data_sheets_table_images_mapper/l4_problematic_frames/media/image145.png")</f>
        <v/>
      </c>
      <c r="F118" s="56" t="n"/>
      <c r="G118" s="1" t="n"/>
      <c r="I118" s="1" t="inlineStr">
        <is>
          <t>Missing truck and static object</t>
        </is>
      </c>
    </row>
    <row r="119" ht="15.75" customHeight="1" thickBot="1">
      <c r="A119" s="59" t="n"/>
      <c r="B119" s="59" t="n"/>
      <c r="C119" s="16" t="n">
        <v>1773371799904</v>
      </c>
      <c r="D119" s="59" t="n"/>
      <c r="E119" s="59" t="n"/>
      <c r="F119" s="59" t="n"/>
      <c r="G119" s="59" t="n"/>
      <c r="I119" s="59" t="n"/>
    </row>
    <row r="120" ht="29.25" customHeight="1" thickBot="1">
      <c r="A120" s="27" t="inlineStr">
        <is>
          <t>2026-03-13_03-03-32</t>
        </is>
      </c>
      <c r="B120" s="7" t="inlineStr">
        <is>
          <t>1773371789905_1773371809904</t>
        </is>
      </c>
      <c r="C120" s="16" t="inlineStr">
        <is>
          <t>1773371800905 - 1773371802804</t>
        </is>
      </c>
      <c r="D120" s="42">
        <f>IMAGE("https://liskibruh.github.io/l4_data_sheets_table_images_mapper/l4_problematic_frames/media/image146.png")</f>
        <v/>
      </c>
      <c r="E120" s="42">
        <f>IMAGE("https://liskibruh.github.io/l4_data_sheets_table_images_mapper/l4_problematic_frames/media/image147.png")</f>
        <v/>
      </c>
      <c r="F120" s="42" t="n"/>
      <c r="G120" s="7" t="n"/>
      <c r="I120" s="7" t="inlineStr">
        <is>
          <t>Missing static object</t>
        </is>
      </c>
    </row>
    <row r="121" ht="27" customHeight="1">
      <c r="A121" s="1" t="inlineStr">
        <is>
          <t>2026-03-13_03-03-32</t>
        </is>
      </c>
      <c r="B121" s="1" t="inlineStr">
        <is>
          <t>1773371789905_1773371809904</t>
        </is>
      </c>
      <c r="C121" s="18" t="inlineStr">
        <is>
          <t xml:space="preserve">1773371803704 - </t>
        </is>
      </c>
      <c r="D121" s="56">
        <f>IMAGE("https://liskibruh.github.io/l4_data_sheets_table_images_mapper/l4_problematic_frames/media/image148.png")</f>
        <v/>
      </c>
      <c r="E121" s="56">
        <f>IMAGE("https://liskibruh.github.io/l4_data_sheets_table_images_mapper/l4_problematic_frames/media/image149.png")</f>
        <v/>
      </c>
      <c r="F121" s="56" t="n"/>
      <c r="G121" s="1" t="n"/>
      <c r="I121" s="1" t="inlineStr">
        <is>
          <t>Missing static object</t>
        </is>
      </c>
    </row>
    <row r="122" ht="15.75" customHeight="1" thickBot="1">
      <c r="A122" s="59" t="n"/>
      <c r="B122" s="59" t="n"/>
      <c r="C122" s="16" t="n">
        <v>1773371806204</v>
      </c>
      <c r="D122" s="59" t="n"/>
      <c r="E122" s="59" t="n"/>
      <c r="F122" s="59" t="n"/>
      <c r="G122" s="59" t="n"/>
      <c r="I122" s="59" t="n"/>
    </row>
    <row r="123" ht="29.25" customHeight="1" thickBot="1">
      <c r="A123" s="27" t="inlineStr">
        <is>
          <t>2026-03-13_03-03-32</t>
        </is>
      </c>
      <c r="B123" s="7" t="inlineStr">
        <is>
          <t>1773371789905_1773371809904</t>
        </is>
      </c>
      <c r="C123" s="16" t="inlineStr">
        <is>
          <t>1773371807304 - 1773371809005</t>
        </is>
      </c>
      <c r="D123" s="42">
        <f>IMAGE("https://liskibruh.github.io/l4_data_sheets_table_images_mapper/l4_problematic_frames/media/image150.png")</f>
        <v/>
      </c>
      <c r="E123" s="42" t="n"/>
      <c r="F123" s="42" t="n"/>
      <c r="G123" s="7" t="n"/>
      <c r="I123" s="7" t="inlineStr">
        <is>
          <t>Missing static object</t>
        </is>
      </c>
    </row>
    <row r="124" ht="29.25" customHeight="1" thickBot="1">
      <c r="A124" s="27" t="inlineStr">
        <is>
          <t>2026-03-13_03-03-32</t>
        </is>
      </c>
      <c r="B124" s="7" t="inlineStr">
        <is>
          <t>1773371810005_1773371830004</t>
        </is>
      </c>
      <c r="C124" s="16" t="inlineStr">
        <is>
          <t>1773371810005 - 1773371810904</t>
        </is>
      </c>
      <c r="D124" s="42">
        <f>IMAGE("https://liskibruh.github.io/l4_data_sheets_table_images_mapper/l4_problematic_frames/media/image151.png")</f>
        <v/>
      </c>
      <c r="E124" s="42" t="n"/>
      <c r="F124" s="42" t="n"/>
      <c r="G124" s="7" t="n"/>
      <c r="I124" s="7" t="inlineStr">
        <is>
          <t>Missing static object</t>
        </is>
      </c>
    </row>
    <row r="125" ht="27" customHeight="1">
      <c r="A125" s="1" t="inlineStr">
        <is>
          <t>2026-03-13_03-03-32</t>
        </is>
      </c>
      <c r="B125" s="1" t="inlineStr">
        <is>
          <t>1773371810005_1773371830004</t>
        </is>
      </c>
      <c r="C125" s="18" t="inlineStr">
        <is>
          <t xml:space="preserve">1773371827505 - </t>
        </is>
      </c>
      <c r="D125" s="56">
        <f>IMAGE("https://liskibruh.github.io/l4_data_sheets_table_images_mapper/l4_problematic_frames/media/image152.png")</f>
        <v/>
      </c>
      <c r="E125" s="56">
        <f>IMAGE("https://liskibruh.github.io/l4_data_sheets_table_images_mapper/l4_problematic_frames/media/image153.png")</f>
        <v/>
      </c>
      <c r="F125" s="56" t="n"/>
      <c r="G125" s="1" t="n"/>
      <c r="I125" s="1" t="inlineStr">
        <is>
          <t>Misisng static object</t>
        </is>
      </c>
    </row>
    <row r="126" ht="15.75" customHeight="1" thickBot="1">
      <c r="A126" s="59" t="n"/>
      <c r="B126" s="59" t="n"/>
      <c r="C126" s="16" t="n">
        <v>1773371829304</v>
      </c>
      <c r="D126" s="59" t="n"/>
      <c r="E126" s="59" t="n"/>
      <c r="F126" s="59" t="n"/>
      <c r="G126" s="59" t="n"/>
      <c r="I126" s="59" t="n"/>
    </row>
    <row r="127" ht="112.5" customHeight="1">
      <c r="A127" s="1" t="inlineStr">
        <is>
          <t>2026-03-13_03-03-32</t>
        </is>
      </c>
      <c r="B127" s="1" t="inlineStr">
        <is>
          <t>1773371830103_1773371850005</t>
        </is>
      </c>
      <c r="C127" s="18" t="inlineStr">
        <is>
          <t xml:space="preserve">1773371830104 - </t>
        </is>
      </c>
      <c r="D127" s="56">
        <f>IMAGE("https://liskibruh.github.io/l4_data_sheets_table_images_mapper/l4_problematic_frames/media/image154.png")</f>
        <v/>
      </c>
      <c r="E127" s="56">
        <f>IMAGE("https://liskibruh.github.io/l4_data_sheets_table_images_mapper/l4_problematic_frames/media/image155.png")</f>
        <v/>
      </c>
      <c r="F127" s="56" t="n"/>
      <c r="G127" s="1" t="n"/>
      <c r="I127" s="1" t="inlineStr">
        <is>
          <t>Multiple bounding boxes are marked for the same static object</t>
        </is>
      </c>
    </row>
    <row r="128" ht="15.75" customHeight="1" thickBot="1">
      <c r="A128" s="59" t="n"/>
      <c r="B128" s="59" t="n"/>
      <c r="C128" s="16" t="n">
        <v>1773371830904</v>
      </c>
      <c r="D128" s="59" t="n"/>
      <c r="E128" s="59" t="n"/>
      <c r="F128" s="59" t="n"/>
      <c r="G128" s="59" t="n"/>
      <c r="I128" s="59" t="n"/>
    </row>
    <row r="129" ht="27" customHeight="1">
      <c r="A129" s="1" t="inlineStr">
        <is>
          <t>2026-03-13_03-03-32</t>
        </is>
      </c>
      <c r="B129" s="1" t="inlineStr">
        <is>
          <t>1773371830103_1773371850005</t>
        </is>
      </c>
      <c r="C129" s="18" t="inlineStr">
        <is>
          <t xml:space="preserve">1773371831005 - </t>
        </is>
      </c>
      <c r="D129" s="56">
        <f>IMAGE("https://liskibruh.github.io/l4_data_sheets_table_images_mapper/l4_problematic_frames/media/image156.png")</f>
        <v/>
      </c>
      <c r="E129" s="56">
        <f>IMAGE("https://liskibruh.github.io/l4_data_sheets_table_images_mapper/l4_problematic_frames/media/image157.png")</f>
        <v/>
      </c>
      <c r="F129" s="56" t="n"/>
      <c r="G129" s="1" t="n"/>
      <c r="I129" s="1" t="inlineStr">
        <is>
          <t>Missing static object</t>
        </is>
      </c>
    </row>
    <row r="130" ht="15.75" customHeight="1" thickBot="1">
      <c r="A130" s="59" t="n"/>
      <c r="B130" s="59" t="n"/>
      <c r="C130" s="16" t="n">
        <v>1773371832005</v>
      </c>
      <c r="D130" s="59" t="n"/>
      <c r="E130" s="59" t="n"/>
      <c r="F130" s="59" t="n"/>
      <c r="G130" s="59" t="n"/>
      <c r="I130" s="59" t="n"/>
    </row>
    <row r="131" ht="29.25" customHeight="1" thickBot="1">
      <c r="A131" s="27" t="inlineStr">
        <is>
          <t>2026-03-13_03-03-32</t>
        </is>
      </c>
      <c r="B131" s="7" t="inlineStr">
        <is>
          <t>1773371830103_1773371850005</t>
        </is>
      </c>
      <c r="C131" s="16" t="inlineStr">
        <is>
          <t>1773371833204 - 1773371834105</t>
        </is>
      </c>
      <c r="D131" s="42">
        <f>IMAGE("https://liskibruh.github.io/l4_data_sheets_table_images_mapper/l4_problematic_frames/media/image158.png")</f>
        <v/>
      </c>
      <c r="E131" s="42">
        <f>IMAGE("https://liskibruh.github.io/l4_data_sheets_table_images_mapper/l4_problematic_frames/media/image159.png")</f>
        <v/>
      </c>
      <c r="F131" s="42" t="n"/>
      <c r="G131" s="7" t="n"/>
      <c r="I131" s="7" t="inlineStr">
        <is>
          <t>Missing static object</t>
        </is>
      </c>
    </row>
    <row r="132" ht="27" customHeight="1">
      <c r="A132" s="1" t="inlineStr">
        <is>
          <t>2026-03-13_03-03-32</t>
        </is>
      </c>
      <c r="B132" s="1" t="inlineStr">
        <is>
          <t>1773371830103_1773371850005</t>
        </is>
      </c>
      <c r="C132" s="18" t="inlineStr">
        <is>
          <t xml:space="preserve">1773371837204 - </t>
        </is>
      </c>
      <c r="D132" s="56">
        <f>IMAGE("https://liskibruh.github.io/l4_data_sheets_table_images_mapper/l4_problematic_frames/media/image160.png")</f>
        <v/>
      </c>
      <c r="E132" s="56">
        <f>IMAGE("https://liskibruh.github.io/l4_data_sheets_table_images_mapper/l4_problematic_frames/media/image161.png")</f>
        <v/>
      </c>
      <c r="F132" s="56" t="n"/>
      <c r="G132" s="1" t="n"/>
      <c r="I132" s="1" t="inlineStr">
        <is>
          <t>Missing static object</t>
        </is>
      </c>
    </row>
    <row r="133" ht="15.75" customHeight="1" thickBot="1">
      <c r="A133" s="59" t="n"/>
      <c r="B133" s="59" t="n"/>
      <c r="C133" s="16" t="n">
        <v>1773371842504</v>
      </c>
      <c r="D133" s="59" t="n"/>
      <c r="E133" s="59" t="n"/>
      <c r="F133" s="59" t="n"/>
      <c r="G133" s="59" t="n"/>
      <c r="I133" s="59" t="n"/>
    </row>
    <row r="134" ht="41.25" customHeight="1">
      <c r="A134" s="1" t="inlineStr">
        <is>
          <t>2026-03-13_03-03-32</t>
        </is>
      </c>
      <c r="B134" s="1" t="inlineStr">
        <is>
          <t>1773371870204_1773371890005</t>
        </is>
      </c>
      <c r="C134" s="18" t="inlineStr">
        <is>
          <t xml:space="preserve">1773371872804 - </t>
        </is>
      </c>
      <c r="D134" s="56">
        <f>IMAGE("https://liskibruh.github.io/l4_data_sheets_table_images_mapper/l4_problematic_frames/media/image162.png")</f>
        <v/>
      </c>
      <c r="E134" s="56">
        <f>IMAGE("https://liskibruh.github.io/l4_data_sheets_table_images_mapper/l4_problematic_frames/media/image163.png")</f>
        <v/>
      </c>
      <c r="F134" s="56" t="n"/>
      <c r="G134" s="1" t="n"/>
      <c r="I134" s="1" t="inlineStr">
        <is>
          <t>False positive static object</t>
        </is>
      </c>
    </row>
    <row r="135" ht="15.75" customHeight="1" thickBot="1">
      <c r="A135" s="59" t="n"/>
      <c r="B135" s="59" t="n"/>
      <c r="C135" s="16" t="n">
        <v>1773371873805</v>
      </c>
      <c r="D135" s="59" t="n"/>
      <c r="E135" s="59" t="n"/>
      <c r="F135" s="59" t="n"/>
      <c r="G135" s="59" t="n"/>
      <c r="I135" s="59" t="n"/>
    </row>
    <row r="136" ht="27" customHeight="1">
      <c r="A136" s="1" t="inlineStr">
        <is>
          <t>2026-03-13_03-03-32</t>
        </is>
      </c>
      <c r="B136" s="1" t="inlineStr">
        <is>
          <t>1773371870204_1773371890005</t>
        </is>
      </c>
      <c r="C136" s="18" t="inlineStr">
        <is>
          <t xml:space="preserve">1773371885104 - </t>
        </is>
      </c>
      <c r="D136" s="56">
        <f>IMAGE("https://liskibruh.github.io/l4_data_sheets_table_images_mapper/l4_problematic_frames/media/image164.png")</f>
        <v/>
      </c>
      <c r="E136" s="56">
        <f>IMAGE("https://liskibruh.github.io/l4_data_sheets_table_images_mapper/l4_problematic_frames/media/image165.png")</f>
        <v/>
      </c>
      <c r="F136" s="56" t="n"/>
      <c r="G136" s="1" t="n"/>
      <c r="I136" s="1" t="inlineStr">
        <is>
          <t>Missing static object</t>
        </is>
      </c>
    </row>
    <row r="137" ht="15.75" customHeight="1" thickBot="1">
      <c r="A137" s="59" t="n"/>
      <c r="B137" s="59" t="n"/>
      <c r="C137" s="16" t="n">
        <v>1773371886005</v>
      </c>
      <c r="D137" s="59" t="n"/>
      <c r="E137" s="59" t="n"/>
      <c r="F137" s="59" t="n"/>
      <c r="G137" s="59" t="n"/>
      <c r="I137" s="59" t="n"/>
    </row>
    <row r="138" ht="41.25" customHeight="1">
      <c r="A138" s="1" t="inlineStr">
        <is>
          <t>2026-03-13_03-03-32</t>
        </is>
      </c>
      <c r="B138" s="1" t="inlineStr">
        <is>
          <t>1773371890205_1773371910204</t>
        </is>
      </c>
      <c r="C138" s="18" t="inlineStr">
        <is>
          <t xml:space="preserve">1773371893305 - </t>
        </is>
      </c>
      <c r="D138" s="56">
        <f>IMAGE("https://liskibruh.github.io/l4_data_sheets_table_images_mapper/l4_problematic_frames/media/image166.png")</f>
        <v/>
      </c>
      <c r="E138" s="56">
        <f>IMAGE("https://liskibruh.github.io/l4_data_sheets_table_images_mapper/l4_problematic_frames/media/image167.png")</f>
        <v/>
      </c>
      <c r="F138" s="56" t="n"/>
      <c r="G138" s="1" t="n"/>
      <c r="I138" s="1" t="inlineStr">
        <is>
          <t>Missing car and static object</t>
        </is>
      </c>
    </row>
    <row r="139" ht="15.75" customHeight="1" thickBot="1">
      <c r="A139" s="59" t="n"/>
      <c r="B139" s="59" t="n"/>
      <c r="C139" s="16" t="n">
        <v>1773371894204</v>
      </c>
      <c r="D139" s="59" t="n"/>
      <c r="E139" s="59" t="n"/>
      <c r="F139" s="59" t="n"/>
      <c r="G139" s="59" t="n"/>
      <c r="I139" s="59" t="n"/>
    </row>
    <row r="140" ht="16.5" customHeight="1" thickBot="1">
      <c r="A140" s="27" t="inlineStr">
        <is>
          <t>2026-03-13_03-03-32</t>
        </is>
      </c>
      <c r="B140" s="7" t="inlineStr">
        <is>
          <t>1773371890205_1773371910204</t>
        </is>
      </c>
      <c r="C140" s="16" t="inlineStr">
        <is>
          <t>1773371900605 - 1773371901704</t>
        </is>
      </c>
      <c r="D140" s="42">
        <f>IMAGE("https://liskibruh.github.io/l4_data_sheets_table_images_mapper/l4_problematic_frames/media/image168.png")</f>
        <v/>
      </c>
      <c r="E140" s="42">
        <f>IMAGE("https://liskibruh.github.io/l4_data_sheets_table_images_mapper/l4_problematic_frames/media/image169.png")</f>
        <v/>
      </c>
      <c r="F140" s="42" t="n"/>
      <c r="G140" s="7" t="n"/>
      <c r="I140" s="7" t="inlineStr">
        <is>
          <t>Missing car</t>
        </is>
      </c>
    </row>
    <row r="141" ht="27" customHeight="1">
      <c r="A141" s="1" t="inlineStr">
        <is>
          <t>2026-03-13_03-03-32</t>
        </is>
      </c>
      <c r="B141" s="1" t="inlineStr">
        <is>
          <t>1773371890205_1773371910204</t>
        </is>
      </c>
      <c r="C141" s="18" t="inlineStr">
        <is>
          <t xml:space="preserve">1773371901604 - </t>
        </is>
      </c>
      <c r="D141" s="56">
        <f>IMAGE("https://liskibruh.github.io/l4_data_sheets_table_images_mapper/l4_problematic_frames/media/image170.png")</f>
        <v/>
      </c>
      <c r="E141" s="56">
        <f>IMAGE("https://liskibruh.github.io/l4_data_sheets_table_images_mapper/l4_problematic_frames/media/image171.png")</f>
        <v/>
      </c>
      <c r="F141" s="56" t="n"/>
      <c r="G141" s="1" t="n"/>
      <c r="I141" s="1" t="inlineStr">
        <is>
          <t>Missing static object</t>
        </is>
      </c>
    </row>
    <row r="142" ht="15.75" customHeight="1" thickBot="1">
      <c r="A142" s="59" t="n"/>
      <c r="B142" s="59" t="n"/>
      <c r="C142" s="16" t="n">
        <v>1773371902604</v>
      </c>
      <c r="D142" s="59" t="n"/>
      <c r="E142" s="59" t="n"/>
      <c r="F142" s="59" t="n"/>
      <c r="G142" s="59" t="n"/>
      <c r="I142" s="59" t="n"/>
    </row>
    <row r="143" ht="41.25" customHeight="1">
      <c r="A143" s="1" t="inlineStr">
        <is>
          <t>2026-03-13_03-03-32</t>
        </is>
      </c>
      <c r="B143" s="1" t="inlineStr">
        <is>
          <t>1773371910304_1773371930205</t>
        </is>
      </c>
      <c r="C143" s="18" t="inlineStr">
        <is>
          <t xml:space="preserve">1773371916304 - </t>
        </is>
      </c>
      <c r="D143" s="56">
        <f>IMAGE("https://liskibruh.github.io/l4_data_sheets_table_images_mapper/l4_problematic_frames/media/image172.png")</f>
        <v/>
      </c>
      <c r="E143" s="56">
        <f>IMAGE("https://liskibruh.github.io/l4_data_sheets_table_images_mapper/l4_problematic_frames/media/image173.png")</f>
        <v/>
      </c>
      <c r="F143" s="56" t="n"/>
      <c r="G143" s="1" t="n"/>
      <c r="I143" s="1" t="inlineStr">
        <is>
          <t>False positive static object</t>
        </is>
      </c>
    </row>
    <row r="144" ht="15.75" customHeight="1" thickBot="1">
      <c r="A144" s="59" t="n"/>
      <c r="B144" s="59" t="n"/>
      <c r="C144" s="16" t="n">
        <v>1773371917204</v>
      </c>
      <c r="D144" s="59" t="n"/>
      <c r="E144" s="59" t="n"/>
      <c r="F144" s="59" t="n"/>
      <c r="G144" s="59" t="n"/>
      <c r="I144" s="59" t="n"/>
    </row>
    <row r="145" ht="29.25" customHeight="1" thickBot="1">
      <c r="A145" s="27" t="inlineStr">
        <is>
          <t>2026-03-13_03-03-32</t>
        </is>
      </c>
      <c r="B145" s="7" t="inlineStr">
        <is>
          <t>1773371910304_1773371930205</t>
        </is>
      </c>
      <c r="C145" s="16" t="inlineStr">
        <is>
          <t>1773371918204 - 1773371919105</t>
        </is>
      </c>
      <c r="D145" s="42">
        <f>IMAGE("https://liskibruh.github.io/l4_data_sheets_table_images_mapper/l4_problematic_frames/media/image174.png")</f>
        <v/>
      </c>
      <c r="E145" s="42">
        <f>IMAGE("https://liskibruh.github.io/l4_data_sheets_table_images_mapper/l4_problematic_frames/media/image175.png")</f>
        <v/>
      </c>
      <c r="F145" s="42" t="n"/>
      <c r="G145" s="7" t="n"/>
      <c r="I145" s="7" t="inlineStr">
        <is>
          <t xml:space="preserve">False positive Pedestrian </t>
        </is>
      </c>
    </row>
    <row r="146" ht="29.25" customHeight="1" thickBot="1">
      <c r="A146" s="27" t="inlineStr">
        <is>
          <t>2026-03-13_03-03-32</t>
        </is>
      </c>
      <c r="B146" s="7" t="inlineStr">
        <is>
          <t>1773371910304_1773371930205</t>
        </is>
      </c>
      <c r="C146" s="16" t="inlineStr">
        <is>
          <t>1773371919205 - 1773371920005</t>
        </is>
      </c>
      <c r="D146" s="42">
        <f>IMAGE("https://liskibruh.github.io/l4_data_sheets_table_images_mapper/l4_problematic_frames/media/image176.png")</f>
        <v/>
      </c>
      <c r="E146" s="42">
        <f>IMAGE("https://liskibruh.github.io/l4_data_sheets_table_images_mapper/l4_problematic_frames/media/image177.png")</f>
        <v/>
      </c>
      <c r="F146" s="42" t="n"/>
      <c r="G146" s="7" t="n"/>
      <c r="I146" s="7" t="inlineStr">
        <is>
          <t>False positive static onject</t>
        </is>
      </c>
    </row>
    <row r="147" ht="29.25" customHeight="1" thickBot="1">
      <c r="A147" s="27" t="inlineStr">
        <is>
          <t>2026-03-13_03-03-32</t>
        </is>
      </c>
      <c r="B147" s="7" t="inlineStr">
        <is>
          <t>1773371910304_1773371930205</t>
        </is>
      </c>
      <c r="C147" s="16" t="inlineStr">
        <is>
          <t>1773371924604 - 1773371925004</t>
        </is>
      </c>
      <c r="D147" s="42">
        <f>IMAGE("https://liskibruh.github.io/l4_data_sheets_table_images_mapper/l4_problematic_frames/media/image178.png")</f>
        <v/>
      </c>
      <c r="E147" s="42">
        <f>IMAGE("https://liskibruh.github.io/l4_data_sheets_table_images_mapper/l4_problematic_frames/media/image179.png")</f>
        <v/>
      </c>
      <c r="F147" s="42" t="n"/>
      <c r="G147" s="7" t="n"/>
      <c r="I147" s="7" t="inlineStr">
        <is>
          <t>False positive static object</t>
        </is>
      </c>
    </row>
    <row r="148" ht="27" customHeight="1">
      <c r="A148" s="1" t="inlineStr">
        <is>
          <t>2026-03-13_03-03-32</t>
        </is>
      </c>
      <c r="B148" s="1" t="inlineStr">
        <is>
          <t>1773371910304_1773371930205</t>
        </is>
      </c>
      <c r="C148" s="18" t="inlineStr">
        <is>
          <t xml:space="preserve">1773371926105 - </t>
        </is>
      </c>
      <c r="D148" s="56">
        <f>IMAGE("https://liskibruh.github.io/l4_data_sheets_table_images_mapper/l4_problematic_frames/media/image180.png")</f>
        <v/>
      </c>
      <c r="E148" s="56">
        <f>IMAGE("https://liskibruh.github.io/l4_data_sheets_table_images_mapper/l4_problematic_frames/media/image181.png")</f>
        <v/>
      </c>
      <c r="F148" s="56" t="n"/>
      <c r="G148" s="1" t="n"/>
      <c r="I148" s="1" t="inlineStr">
        <is>
          <t>Missing static object</t>
        </is>
      </c>
    </row>
    <row r="149" ht="15.75" customHeight="1" thickBot="1">
      <c r="A149" s="59" t="n"/>
      <c r="B149" s="59" t="n"/>
      <c r="C149" s="16" t="n">
        <v>1773371927005</v>
      </c>
      <c r="D149" s="59" t="n"/>
      <c r="E149" s="59" t="n"/>
      <c r="F149" s="59" t="n"/>
      <c r="G149" s="59" t="n"/>
      <c r="I149" s="59" t="n"/>
    </row>
    <row r="150" ht="27" customHeight="1">
      <c r="A150" s="1" t="inlineStr">
        <is>
          <t>2026-03-13_03-03-32</t>
        </is>
      </c>
      <c r="B150" s="1" t="inlineStr">
        <is>
          <t>1773371910304_1773371930205</t>
        </is>
      </c>
      <c r="C150" s="55" t="inlineStr">
        <is>
          <t>1773371928104 - 1773371929004</t>
        </is>
      </c>
      <c r="D150" s="56">
        <f>IMAGE("https://liskibruh.github.io/l4_data_sheets_table_images_mapper/l4_problematic_frames/media/image182.png")</f>
        <v/>
      </c>
      <c r="E150" s="56">
        <f>IMAGE("https://liskibruh.github.io/l4_data_sheets_table_images_mapper/l4_problematic_frames/media/image182.png")</f>
        <v/>
      </c>
      <c r="F150" s="56" t="n"/>
      <c r="G150" s="1" t="n"/>
      <c r="I150" s="1" t="inlineStr">
        <is>
          <t>Missing static object</t>
        </is>
      </c>
    </row>
    <row r="151" ht="15.75" customHeight="1" thickBot="1">
      <c r="A151" s="59" t="n"/>
      <c r="B151" s="59" t="n"/>
      <c r="C151" s="59" t="n"/>
      <c r="D151" s="59" t="n"/>
      <c r="E151" s="59" t="n"/>
      <c r="F151" s="59" t="n"/>
      <c r="G151" s="59" t="n"/>
      <c r="I151" s="59" t="n"/>
    </row>
    <row r="152" ht="27" customHeight="1">
      <c r="A152" s="1" t="inlineStr">
        <is>
          <t>2026-03-13_03-03-32</t>
        </is>
      </c>
      <c r="B152" s="1" t="inlineStr">
        <is>
          <t>1773371930305_1773371950304</t>
        </is>
      </c>
      <c r="C152" s="18" t="inlineStr">
        <is>
          <t xml:space="preserve">1773371930305 - </t>
        </is>
      </c>
      <c r="D152" s="56">
        <f>IMAGE("https://liskibruh.github.io/l4_data_sheets_table_images_mapper/l4_problematic_frames/media/image183.png")</f>
        <v/>
      </c>
      <c r="E152" s="56">
        <f>IMAGE("https://liskibruh.github.io/l4_data_sheets_table_images_mapper/l4_problematic_frames/media/image184.png")</f>
        <v/>
      </c>
      <c r="F152" s="56" t="n"/>
      <c r="G152" s="1" t="n"/>
      <c r="I152" s="1" t="inlineStr">
        <is>
          <t>Missing static object</t>
        </is>
      </c>
    </row>
    <row r="153" ht="15.75" customHeight="1" thickBot="1">
      <c r="A153" s="59" t="n"/>
      <c r="B153" s="59" t="n"/>
      <c r="C153" s="16" t="n">
        <v>1773371931204</v>
      </c>
      <c r="D153" s="59" t="n"/>
      <c r="E153" s="59" t="n"/>
      <c r="F153" s="59" t="n"/>
      <c r="G153" s="59" t="n"/>
      <c r="I153" s="59" t="n"/>
    </row>
    <row r="154" ht="27" customHeight="1">
      <c r="A154" s="1" t="inlineStr">
        <is>
          <t>2026-03-13_03-03-32</t>
        </is>
      </c>
      <c r="B154" s="1" t="inlineStr">
        <is>
          <t>1773371930305_1773371950304</t>
        </is>
      </c>
      <c r="C154" s="18" t="n">
        <v>1773371937704</v>
      </c>
      <c r="D154" s="56">
        <f>IMAGE("https://liskibruh.github.io/l4_data_sheets_table_images_mapper/l4_problematic_frames/media/image185.png")</f>
        <v/>
      </c>
      <c r="E154" s="56">
        <f>IMAGE("https://liskibruh.github.io/l4_data_sheets_table_images_mapper/l4_problematic_frames/media/image186.png")</f>
        <v/>
      </c>
      <c r="F154" s="56" t="n"/>
      <c r="G154" s="1" t="n"/>
      <c r="I154" s="1" t="inlineStr">
        <is>
          <t>Missing static object</t>
        </is>
      </c>
    </row>
    <row r="155" ht="15.75" customHeight="1" thickBot="1">
      <c r="A155" s="59" t="n"/>
      <c r="B155" s="59" t="n"/>
      <c r="C155" s="16" t="n">
        <v>1773371937804</v>
      </c>
      <c r="D155" s="59" t="n"/>
      <c r="E155" s="59" t="n"/>
      <c r="F155" s="59" t="n"/>
      <c r="G155" s="59" t="n"/>
      <c r="I155" s="59" t="n"/>
    </row>
    <row r="156" ht="27" customHeight="1">
      <c r="A156" s="1" t="inlineStr">
        <is>
          <t>2026-03-13_03-03-32</t>
        </is>
      </c>
      <c r="B156" s="1" t="inlineStr">
        <is>
          <t>1773371930305_1773371950304</t>
        </is>
      </c>
      <c r="C156" s="55" t="inlineStr">
        <is>
          <t>1773371938304 - 1773371939304</t>
        </is>
      </c>
      <c r="D156" s="56">
        <f>IMAGE("https://liskibruh.github.io/l4_data_sheets_table_images_mapper/l4_problematic_frames/media/image187.png")</f>
        <v/>
      </c>
      <c r="E156" s="56">
        <f>IMAGE("https://liskibruh.github.io/l4_data_sheets_table_images_mapper/l4_problematic_frames/media/image188.png")</f>
        <v/>
      </c>
      <c r="F156" s="56" t="n"/>
      <c r="G156" s="1" t="n"/>
      <c r="I156" s="1" t="inlineStr">
        <is>
          <t>Missing static object</t>
        </is>
      </c>
    </row>
    <row r="157" ht="15.75" customHeight="1" thickBot="1">
      <c r="A157" s="59" t="n"/>
      <c r="B157" s="59" t="n"/>
      <c r="C157" s="59" t="n"/>
      <c r="D157" s="59" t="n"/>
      <c r="E157" s="59" t="n"/>
      <c r="F157" s="59" t="n"/>
      <c r="G157" s="59" t="n"/>
      <c r="I157" s="59" t="n"/>
    </row>
    <row r="158" ht="29.25" customHeight="1" thickBot="1">
      <c r="A158" s="27" t="inlineStr">
        <is>
          <t>2026-03-13_03-03-32</t>
        </is>
      </c>
      <c r="B158" s="7" t="inlineStr">
        <is>
          <t>1773371990504_1773372010405</t>
        </is>
      </c>
      <c r="C158" s="16" t="inlineStr">
        <is>
          <t>1773371993504 - 1773371994104</t>
        </is>
      </c>
      <c r="D158" s="42">
        <f>IMAGE("https://liskibruh.github.io/l4_data_sheets_table_images_mapper/l4_problematic_frames/media/image189.png")</f>
        <v/>
      </c>
      <c r="E158" s="42">
        <f>IMAGE("https://liskibruh.github.io/l4_data_sheets_table_images_mapper/l4_problematic_frames/media/image190.png")</f>
        <v/>
      </c>
      <c r="F158" s="42" t="n"/>
      <c r="G158" s="7" t="n"/>
      <c r="I158" s="7" t="inlineStr">
        <is>
          <t>Missing static object</t>
        </is>
      </c>
    </row>
    <row r="159" ht="27" customHeight="1">
      <c r="A159" s="1" t="inlineStr">
        <is>
          <t>2026-03-13_03-03-32</t>
        </is>
      </c>
      <c r="B159" s="1" t="inlineStr">
        <is>
          <t>1773371990504_1773372010405</t>
        </is>
      </c>
      <c r="C159" s="18" t="inlineStr">
        <is>
          <t xml:space="preserve">1773371993504 - </t>
        </is>
      </c>
      <c r="D159" s="56">
        <f>IMAGE("https://liskibruh.github.io/l4_data_sheets_table_images_mapper/l4_problematic_frames/media/image189.png")</f>
        <v/>
      </c>
      <c r="E159" s="56">
        <f>IMAGE("https://liskibruh.github.io/l4_data_sheets_table_images_mapper/l4_problematic_frames/media/image191.png")</f>
        <v/>
      </c>
      <c r="F159" s="56" t="n"/>
      <c r="G159" s="1" t="n"/>
      <c r="I159" s="1" t="inlineStr">
        <is>
          <t>Missing static object</t>
        </is>
      </c>
    </row>
    <row r="160" ht="15.75" customHeight="1" thickBot="1">
      <c r="A160" s="59" t="n"/>
      <c r="B160" s="59" t="n"/>
      <c r="C160" s="16" t="n">
        <v>1773371993804</v>
      </c>
      <c r="D160" s="59" t="n"/>
      <c r="E160" s="59" t="n"/>
      <c r="F160" s="59" t="n"/>
      <c r="G160" s="59" t="n"/>
      <c r="I160" s="59" t="n"/>
    </row>
    <row r="161" ht="85.5" customHeight="1">
      <c r="A161" s="1" t="inlineStr">
        <is>
          <t>2026-03-13_03-03-32</t>
        </is>
      </c>
      <c r="B161" s="1" t="inlineStr">
        <is>
          <t>1773371990504_1773372010405</t>
        </is>
      </c>
      <c r="C161" s="55" t="inlineStr">
        <is>
          <t>1773371993504 - 1773371996005</t>
        </is>
      </c>
      <c r="D161" s="56">
        <f>IMAGE("https://liskibruh.github.io/l4_data_sheets_table_images_mapper/l4_problematic_frames/media/image189.png")</f>
        <v/>
      </c>
      <c r="E161" s="56">
        <f>IMAGE("https://liskibruh.github.io/l4_data_sheets_table_images_mapper/l4_problematic_frames/media/image192.png")</f>
        <v/>
      </c>
      <c r="F161" s="56" t="n"/>
      <c r="G161" s="3" t="n"/>
      <c r="I161" s="3" t="inlineStr">
        <is>
          <t>1773371993504 - 1773371994304 Truck is mislabeled as a car</t>
        </is>
      </c>
    </row>
    <row r="162" ht="15.75" customHeight="1">
      <c r="A162" s="63" t="n"/>
      <c r="B162" s="63" t="n"/>
      <c r="C162" s="63" t="n"/>
      <c r="D162" s="63" t="n"/>
      <c r="E162" s="63" t="n"/>
      <c r="F162" s="63" t="n"/>
      <c r="G162" s="5" t="n"/>
      <c r="I162" s="5" t="n"/>
    </row>
    <row r="163" ht="72" customHeight="1" thickBot="1">
      <c r="A163" s="59" t="n"/>
      <c r="B163" s="59" t="n"/>
      <c r="C163" s="59" t="n"/>
      <c r="D163" s="59" t="n"/>
      <c r="E163" s="59" t="n"/>
      <c r="F163" s="59" t="n"/>
      <c r="G163" s="7" t="n"/>
      <c r="I163" s="7" t="inlineStr">
        <is>
          <t>1773371994304 - 1773371996005 missing truck</t>
        </is>
      </c>
    </row>
    <row r="164">
      <c r="A164" s="1" t="inlineStr">
        <is>
          <t>2026-03-13_03-03-32</t>
        </is>
      </c>
      <c r="B164" s="1" t="inlineStr">
        <is>
          <t>1773371990504_1773372010405</t>
        </is>
      </c>
      <c r="C164" s="18" t="inlineStr">
        <is>
          <t xml:space="preserve">1773371995505 - </t>
        </is>
      </c>
      <c r="D164" s="56">
        <f>IMAGE("https://liskibruh.github.io/l4_data_sheets_table_images_mapper/l4_problematic_frames/media/image193.png")</f>
        <v/>
      </c>
      <c r="E164" s="56">
        <f>IMAGE("https://liskibruh.github.io/l4_data_sheets_table_images_mapper/l4_problematic_frames/media/image194.png")</f>
        <v/>
      </c>
      <c r="F164" s="56" t="n"/>
      <c r="G164" s="1" t="n"/>
      <c r="I164" s="1" t="inlineStr">
        <is>
          <t>Missing truck</t>
        </is>
      </c>
    </row>
    <row r="165" ht="15.75" customHeight="1" thickBot="1">
      <c r="A165" s="59" t="n"/>
      <c r="B165" s="59" t="n"/>
      <c r="C165" s="16" t="n">
        <v>1773371998705</v>
      </c>
      <c r="D165" s="59" t="n"/>
      <c r="E165" s="59" t="n"/>
      <c r="F165" s="59" t="n"/>
      <c r="G165" s="59" t="n"/>
      <c r="I165" s="59" t="n"/>
    </row>
    <row r="166" ht="29.25" customHeight="1" thickBot="1">
      <c r="A166" s="27" t="inlineStr">
        <is>
          <t>2026-03-13_03-03-32</t>
        </is>
      </c>
      <c r="B166" s="7" t="inlineStr">
        <is>
          <t>1773371990504_1773372010405</t>
        </is>
      </c>
      <c r="C166" s="16" t="n">
        <v>1773372003005</v>
      </c>
      <c r="D166" s="42">
        <f>IMAGE("https://liskibruh.github.io/l4_data_sheets_table_images_mapper/l4_problematic_frames/media/image195.png")</f>
        <v/>
      </c>
      <c r="E166" s="42" t="n"/>
      <c r="F166" s="42" t="n"/>
      <c r="G166" s="7" t="n"/>
      <c r="I166" s="7" t="inlineStr">
        <is>
          <t>Missing static object</t>
        </is>
      </c>
    </row>
    <row r="167" ht="29.25" customHeight="1" thickBot="1">
      <c r="A167" s="1" t="inlineStr">
        <is>
          <t>2026-03-13_03-03-32</t>
        </is>
      </c>
      <c r="B167" s="2" t="inlineStr">
        <is>
          <t>1773371990504_1773372010405</t>
        </is>
      </c>
      <c r="C167" s="17" t="n">
        <v>1773372005805</v>
      </c>
      <c r="D167" s="45">
        <f>IMAGE("https://liskibruh.github.io/l4_data_sheets_table_images_mapper/l4_problematic_frames/media/image196.png")</f>
        <v/>
      </c>
      <c r="E167" s="45" t="n"/>
      <c r="F167" s="45" t="n"/>
      <c r="G167" s="2" t="n"/>
      <c r="I167" s="2" t="inlineStr">
        <is>
          <t>Missing Static Object</t>
        </is>
      </c>
    </row>
    <row r="168" ht="29.25" customHeight="1" thickBot="1">
      <c r="A168" s="27" t="inlineStr">
        <is>
          <t>2026-03-13_03-03-32</t>
        </is>
      </c>
      <c r="B168" s="7" t="inlineStr">
        <is>
          <t>1773371990504_1773372010405</t>
        </is>
      </c>
      <c r="C168" s="16" t="inlineStr">
        <is>
          <t>1773372005705_1773372005604</t>
        </is>
      </c>
      <c r="D168" s="42">
        <f>IMAGE("https://liskibruh.github.io/l4_data_sheets_table_images_mapper/l4_problematic_frames/media/image197.png")</f>
        <v/>
      </c>
      <c r="E168" s="42" t="n"/>
      <c r="F168" s="42" t="n"/>
      <c r="G168" s="7" t="n"/>
      <c r="I168" s="7" t="inlineStr">
        <is>
          <t>Missing Static Object</t>
        </is>
      </c>
    </row>
    <row r="169" ht="57.75" customHeight="1" thickBot="1">
      <c r="A169" s="27" t="inlineStr">
        <is>
          <t>2026-03-13_03-03-32</t>
        </is>
      </c>
      <c r="B169" s="7" t="inlineStr">
        <is>
          <t>1773372010505_1773372030504</t>
        </is>
      </c>
      <c r="C169" s="16" t="inlineStr">
        <is>
          <t>1773372011604_1773372011704,1773372012404,1773372012304,1773372012204,1773372012104,</t>
        </is>
      </c>
      <c r="D169" s="42">
        <f>IMAGE("https://liskibruh.github.io/l4_data_sheets_table_images_mapper/l4_problematic_frames/media/image198.png")</f>
        <v/>
      </c>
      <c r="E169" s="42" t="n"/>
      <c r="F169" s="42" t="n"/>
      <c r="G169" s="7" t="n"/>
      <c r="I169" s="7" t="inlineStr">
        <is>
          <t>Miss Classification of Truck Orientation</t>
        </is>
      </c>
    </row>
    <row r="170" ht="16.5" customHeight="1" thickBot="1">
      <c r="A170" s="27" t="inlineStr">
        <is>
          <t>2026-03-13_03-03-32</t>
        </is>
      </c>
      <c r="B170" s="7" t="inlineStr">
        <is>
          <t>1773372030604_1773372050505</t>
        </is>
      </c>
      <c r="C170" s="16" t="n">
        <v>1.77337204660517e+25</v>
      </c>
      <c r="D170" s="42">
        <f>IMAGE("https://liskibruh.github.io/l4_data_sheets_table_images_mapper/l4_problematic_frames/media/image199.png")</f>
        <v/>
      </c>
      <c r="E170" s="42" t="n"/>
      <c r="F170" s="42" t="n"/>
      <c r="G170" s="7" t="n"/>
      <c r="I170" s="7" t="inlineStr">
        <is>
          <t>Missed Car</t>
        </is>
      </c>
    </row>
    <row r="171" ht="42.75" customHeight="1">
      <c r="A171" s="1" t="inlineStr">
        <is>
          <t>2026-03-13_03-03-32</t>
        </is>
      </c>
      <c r="B171" s="3" t="inlineStr">
        <is>
          <t>1773372030604_1773372050505,</t>
        </is>
      </c>
      <c r="C171" s="18" t="inlineStr">
        <is>
          <t xml:space="preserve">1773372048804, 1773372048604_1773372049504,1773372065505, </t>
        </is>
      </c>
      <c r="D171" s="56">
        <f>IMAGE("https://liskibruh.github.io/l4_data_sheets_table_images_mapper/l4_problematic_frames/media/image200.png")</f>
        <v/>
      </c>
      <c r="E171" s="56" t="n"/>
      <c r="F171" s="56" t="n"/>
      <c r="G171" s="1" t="n"/>
      <c r="I171" s="1" t="inlineStr">
        <is>
          <t>Missed Car/Cars</t>
        </is>
      </c>
    </row>
    <row r="172">
      <c r="A172" s="63" t="n"/>
      <c r="B172" s="3" t="inlineStr">
        <is>
          <t>1773372050605_1773372070604</t>
        </is>
      </c>
      <c r="C172" s="18" t="inlineStr">
        <is>
          <t>1773372066055_1773372067404</t>
        </is>
      </c>
      <c r="D172" s="63" t="n"/>
      <c r="E172" s="63" t="n"/>
      <c r="F172" s="63" t="n"/>
      <c r="G172" s="63" t="n"/>
      <c r="I172" s="63" t="n"/>
    </row>
    <row r="173" ht="16.5" customHeight="1" thickBot="1">
      <c r="A173" s="59" t="n"/>
      <c r="B173" s="14" t="n"/>
      <c r="C173" s="19" t="n"/>
      <c r="D173" s="59" t="n"/>
      <c r="E173" s="59" t="n"/>
      <c r="F173" s="59" t="n"/>
      <c r="G173" s="59" t="n"/>
      <c r="I173" s="59" t="n"/>
    </row>
    <row r="174" ht="16.5" customHeight="1" thickBot="1">
      <c r="A174" s="27" t="inlineStr">
        <is>
          <t>2026-03-13_03-03-32</t>
        </is>
      </c>
      <c r="B174" s="7" t="inlineStr">
        <is>
          <t>1773372070704_1773372090605</t>
        </is>
      </c>
      <c r="C174" s="16" t="inlineStr">
        <is>
          <t>1773372080005_1773372080505</t>
        </is>
      </c>
      <c r="D174" s="42">
        <f>IMAGE("https://liskibruh.github.io/l4_data_sheets_table_images_mapper/l4_problematic_frames/media/image201.png")</f>
        <v/>
      </c>
      <c r="E174" s="42" t="n"/>
      <c r="F174" s="42" t="n"/>
      <c r="G174" s="7" t="n"/>
      <c r="I174" s="7" t="inlineStr">
        <is>
          <t>Missed Truck</t>
        </is>
      </c>
    </row>
    <row r="175" ht="16.5" customHeight="1" thickBot="1">
      <c r="A175" s="27" t="inlineStr">
        <is>
          <t>2026-03-13_03-03-32</t>
        </is>
      </c>
      <c r="B175" s="7" t="inlineStr">
        <is>
          <t>1773372070704_1773372090605</t>
        </is>
      </c>
      <c r="C175" s="16" t="inlineStr">
        <is>
          <t>1773372083904_1773372083805</t>
        </is>
      </c>
      <c r="D175" s="42">
        <f>IMAGE("https://liskibruh.github.io/l4_data_sheets_table_images_mapper/l4_problematic_frames/media/image202.png")</f>
        <v/>
      </c>
      <c r="E175" s="42" t="n"/>
      <c r="F175" s="42" t="n"/>
      <c r="G175" s="7" t="n"/>
      <c r="I175" s="7" t="inlineStr">
        <is>
          <t>Missed Truck</t>
        </is>
      </c>
    </row>
    <row r="176" ht="16.5" customHeight="1" thickBot="1">
      <c r="A176" s="27" t="inlineStr">
        <is>
          <t>2026-03-13_03-03-32</t>
        </is>
      </c>
      <c r="B176" s="7" t="inlineStr">
        <is>
          <t>1773372070704_1773372090605</t>
        </is>
      </c>
      <c r="C176" s="16" t="inlineStr">
        <is>
          <t>1773372083004_1773372084205</t>
        </is>
      </c>
      <c r="D176" s="42">
        <f>IMAGE("https://liskibruh.github.io/l4_data_sheets_table_images_mapper/l4_problematic_frames/media/image203.png")</f>
        <v/>
      </c>
      <c r="E176" s="42" t="n"/>
      <c r="F176" s="42" t="n"/>
      <c r="G176" s="7" t="n"/>
      <c r="I176" s="7" t="inlineStr">
        <is>
          <t>Missed Truck</t>
        </is>
      </c>
    </row>
    <row r="177" ht="69.75" customHeight="1">
      <c r="A177" s="1" t="inlineStr">
        <is>
          <t>2026-03-13_03-03-32</t>
        </is>
      </c>
      <c r="B177" s="1" t="inlineStr">
        <is>
          <t>1773372090705_1773372110604</t>
        </is>
      </c>
      <c r="C177" s="18" t="inlineStr">
        <is>
          <t>1773372095704_1773372096304</t>
        </is>
      </c>
      <c r="D177" s="56">
        <f>IMAGE("https://liskibruh.github.io/l4_data_sheets_table_images_mapper/l4_problematic_frames/media/image204.png")</f>
        <v/>
      </c>
      <c r="E177" s="56" t="n"/>
      <c r="F177" s="56" t="n"/>
      <c r="G177" s="1" t="n"/>
      <c r="I177" s="1" t="inlineStr">
        <is>
          <t>Miss Classification of Trucks Orientation</t>
        </is>
      </c>
    </row>
    <row r="178" ht="15.75" customHeight="1" thickBot="1">
      <c r="A178" s="59" t="n"/>
      <c r="B178" s="59" t="n"/>
      <c r="C178" s="16" t="inlineStr">
        <is>
          <t>,1773372096504</t>
        </is>
      </c>
      <c r="D178" s="59" t="n"/>
      <c r="E178" s="59" t="n"/>
      <c r="F178" s="59" t="n"/>
      <c r="G178" s="59" t="n"/>
      <c r="I178" s="59" t="n"/>
    </row>
    <row r="179" ht="29.25" customHeight="1" thickBot="1">
      <c r="A179" s="27" t="inlineStr">
        <is>
          <t>2026-03-13_03-03-32</t>
        </is>
      </c>
      <c r="B179" s="7" t="inlineStr">
        <is>
          <t>1773372090705_1773372110604</t>
        </is>
      </c>
      <c r="C179" s="16" t="inlineStr">
        <is>
          <t>1773372109305,1773372109605,1773372109505,1773372110504,</t>
        </is>
      </c>
      <c r="D179" s="42">
        <f>IMAGE("https://liskibruh.github.io/l4_data_sheets_table_images_mapper/l4_problematic_frames/media/image205.png")</f>
        <v/>
      </c>
      <c r="E179" s="42" t="n"/>
      <c r="F179" s="42" t="n"/>
      <c r="G179" s="7" t="n"/>
      <c r="I179" s="7" t="inlineStr">
        <is>
          <t>Missed Truck</t>
        </is>
      </c>
    </row>
    <row r="180" ht="16.5" customHeight="1" thickBot="1">
      <c r="A180" s="27" t="inlineStr">
        <is>
          <t>2026-03-13_03-03-32</t>
        </is>
      </c>
      <c r="B180" s="7" t="inlineStr">
        <is>
          <t>1773372110804_1773372130705</t>
        </is>
      </c>
      <c r="C180" s="16" t="n">
        <v>1773372122304</v>
      </c>
      <c r="D180" s="42">
        <f>IMAGE("https://liskibruh.github.io/l4_data_sheets_table_images_mapper/l4_problematic_frames/media/image206.png")</f>
        <v/>
      </c>
      <c r="E180" s="42" t="n"/>
      <c r="F180" s="42" t="n"/>
      <c r="G180" s="7" t="n"/>
      <c r="I180" s="7" t="inlineStr">
        <is>
          <t>Missed Cars</t>
        </is>
      </c>
    </row>
    <row r="181">
      <c r="A181" s="1" t="inlineStr">
        <is>
          <t>2026-03-13_03-03-32</t>
        </is>
      </c>
      <c r="B181" s="1" t="inlineStr">
        <is>
          <t>1773372130805_1773372150704</t>
        </is>
      </c>
      <c r="C181" s="55" t="inlineStr">
        <is>
          <t>1773372131804,</t>
        </is>
      </c>
      <c r="D181" s="56">
        <f>IMAGE("https://liskibruh.github.io/l4_data_sheets_table_images_mapper/l4_problematic_frames/media/image207.png")</f>
        <v/>
      </c>
      <c r="E181" s="56" t="n"/>
      <c r="F181" s="56" t="n"/>
      <c r="G181" s="1" t="n"/>
      <c r="I181" s="1" t="inlineStr">
        <is>
          <t>Missed Truck</t>
        </is>
      </c>
    </row>
    <row r="182" ht="15.75" customHeight="1" thickBot="1">
      <c r="A182" s="59" t="n"/>
      <c r="B182" s="59" t="n"/>
      <c r="C182" s="59" t="n"/>
      <c r="D182" s="59" t="n"/>
      <c r="E182" s="59" t="n"/>
      <c r="F182" s="59" t="n"/>
      <c r="G182" s="59" t="n"/>
      <c r="I182" s="59" t="n"/>
    </row>
    <row r="183" ht="43.5" customHeight="1" thickBot="1">
      <c r="A183" s="27" t="inlineStr">
        <is>
          <t>2026-03-13_03-03-32</t>
        </is>
      </c>
      <c r="B183" s="7" t="inlineStr">
        <is>
          <t>1773372130805_1773372150704</t>
        </is>
      </c>
      <c r="C183" s="16" t="inlineStr">
        <is>
          <t>177372132404_1773372133304</t>
        </is>
      </c>
      <c r="D183" s="42">
        <f>IMAGE("https://liskibruh.github.io/l4_data_sheets_table_images_mapper/l4_problematic_frames/media/image208.png")</f>
        <v/>
      </c>
      <c r="E183" s="42" t="n"/>
      <c r="F183" s="42" t="n"/>
      <c r="G183" s="7" t="n"/>
      <c r="I183" s="7" t="inlineStr">
        <is>
          <t>Miss Classification of Car</t>
        </is>
      </c>
    </row>
    <row r="184" ht="29.25" customHeight="1" thickBot="1">
      <c r="A184" s="27" t="inlineStr">
        <is>
          <t>2026-03-13_03-03-32</t>
        </is>
      </c>
      <c r="B184" s="7" t="inlineStr">
        <is>
          <t>1773372150904_1773372170705</t>
        </is>
      </c>
      <c r="C184" s="16" t="inlineStr">
        <is>
          <t>1773372143704_1773372153504</t>
        </is>
      </c>
      <c r="D184" s="42">
        <f>IMAGE("https://liskibruh.github.io/l4_data_sheets_table_images_mapper/l4_problematic_frames/media/image209.png")</f>
        <v/>
      </c>
      <c r="E184" s="42" t="n"/>
      <c r="F184" s="42" t="n"/>
      <c r="G184" s="7" t="n"/>
      <c r="I184" s="7" t="inlineStr">
        <is>
          <t>Missed Car/Cars</t>
        </is>
      </c>
    </row>
    <row r="185" ht="43.5" customHeight="1" thickBot="1">
      <c r="A185" s="27" t="inlineStr">
        <is>
          <t>2026-03-13_03-03-32</t>
        </is>
      </c>
      <c r="B185" s="7" t="inlineStr">
        <is>
          <t>1773372150904_1773372170705</t>
        </is>
      </c>
      <c r="C185" s="16" t="inlineStr">
        <is>
          <t>1773372161105_1773372162005</t>
        </is>
      </c>
      <c r="D185" s="42">
        <f>IMAGE("https://liskibruh.github.io/l4_data_sheets_table_images_mapper/l4_problematic_frames/media/image210.png")</f>
        <v/>
      </c>
      <c r="E185" s="42" t="n"/>
      <c r="F185" s="42" t="n"/>
      <c r="G185" s="7" t="n"/>
      <c r="I185" s="7" t="inlineStr">
        <is>
          <t>MissClassification of Truck Orientation</t>
        </is>
      </c>
    </row>
    <row r="186" ht="43.5" customHeight="1" thickBot="1">
      <c r="A186" s="27" t="inlineStr">
        <is>
          <t>2026-03-13_03-03-32</t>
        </is>
      </c>
      <c r="B186" s="7" t="inlineStr">
        <is>
          <t>1773372150904_1773372170705</t>
        </is>
      </c>
      <c r="C186" s="16" t="inlineStr">
        <is>
          <t>1773372163805_1773372164704</t>
        </is>
      </c>
      <c r="D186" s="42">
        <f>IMAGE("https://liskibruh.github.io/l4_data_sheets_table_images_mapper/l4_problematic_frames/media/image211.png")</f>
        <v/>
      </c>
      <c r="E186" s="42" t="n"/>
      <c r="F186" s="42" t="n"/>
      <c r="G186" s="7" t="n"/>
      <c r="I186" s="7" t="inlineStr">
        <is>
          <t>Miss Classification of Truck</t>
        </is>
      </c>
    </row>
    <row r="187" ht="27" customHeight="1">
      <c r="A187" s="1" t="inlineStr">
        <is>
          <t>2026-03-13_03-03-32</t>
        </is>
      </c>
      <c r="B187" s="1" t="inlineStr">
        <is>
          <t>1773372170905_1773372190904</t>
        </is>
      </c>
      <c r="C187" s="55" t="inlineStr">
        <is>
          <t>1773372183904,1773372184005,1773372183804,</t>
        </is>
      </c>
      <c r="D187" s="56">
        <f>IMAGE("https://liskibruh.github.io/l4_data_sheets_table_images_mapper/l4_problematic_frames/media/image212.png")</f>
        <v/>
      </c>
      <c r="E187" s="56" t="n"/>
      <c r="F187" s="56" t="n"/>
      <c r="G187" s="1" t="n"/>
      <c r="I187" s="1" t="inlineStr">
        <is>
          <t>Missed Static Object</t>
        </is>
      </c>
    </row>
    <row r="188" ht="15.75" customHeight="1" thickBot="1">
      <c r="A188" s="59" t="n"/>
      <c r="B188" s="59" t="n"/>
      <c r="C188" s="59" t="n"/>
      <c r="D188" s="59" t="n"/>
      <c r="E188" s="59" t="n"/>
      <c r="F188" s="59" t="n"/>
      <c r="G188" s="59" t="n"/>
      <c r="I188" s="59" t="n"/>
    </row>
    <row r="189" ht="29.25" customHeight="1" thickBot="1">
      <c r="A189" s="27" t="inlineStr">
        <is>
          <t>2026-03-13_03-03-32</t>
        </is>
      </c>
      <c r="B189" s="7" t="inlineStr">
        <is>
          <t>1773372211104_1773372231005</t>
        </is>
      </c>
      <c r="C189" s="16" t="inlineStr">
        <is>
          <t>1773372225004,1773372225104,17733722240904,</t>
        </is>
      </c>
      <c r="D189" s="42">
        <f>IMAGE("https://liskibruh.github.io/l4_data_sheets_table_images_mapper/l4_problematic_frames/media/image213.png")</f>
        <v/>
      </c>
      <c r="E189" s="42" t="n"/>
      <c r="F189" s="42" t="n"/>
      <c r="G189" s="7" t="n"/>
      <c r="I189" s="7" t="inlineStr">
        <is>
          <t>Missed Static Objects</t>
        </is>
      </c>
    </row>
    <row r="190" ht="27" customHeight="1">
      <c r="A190" s="1" t="inlineStr">
        <is>
          <t>2026-03-13_03-03-32</t>
        </is>
      </c>
      <c r="B190" s="3" t="inlineStr">
        <is>
          <t>1773372211104_1773372231005,</t>
        </is>
      </c>
      <c r="C190" s="55" t="inlineStr">
        <is>
          <t>1773372248004_1773372248805</t>
        </is>
      </c>
      <c r="D190" s="56">
        <f>IMAGE("https://liskibruh.github.io/l4_data_sheets_table_images_mapper/l4_problematic_frames/media/image214.png")</f>
        <v/>
      </c>
      <c r="E190" s="56" t="n"/>
      <c r="F190" s="56" t="n"/>
      <c r="G190" s="1" t="n"/>
      <c r="I190" s="1" t="inlineStr">
        <is>
          <t>Missed Static Objects</t>
        </is>
      </c>
    </row>
    <row r="191" ht="15.75" customHeight="1" thickBot="1">
      <c r="A191" s="59" t="n"/>
      <c r="B191" s="7" t="inlineStr">
        <is>
          <t>1773372231105_1773372251004</t>
        </is>
      </c>
      <c r="C191" s="59" t="n"/>
      <c r="D191" s="59" t="n"/>
      <c r="E191" s="59" t="n"/>
      <c r="F191" s="59" t="n"/>
      <c r="G191" s="59" t="n"/>
      <c r="I191" s="59" t="n"/>
    </row>
    <row r="192" ht="16.5" customHeight="1" thickBot="1">
      <c r="A192" s="27" t="inlineStr">
        <is>
          <t>2026-03-13_03-03-32</t>
        </is>
      </c>
      <c r="B192" s="7" t="inlineStr">
        <is>
          <t>1773372231105_1773372251004</t>
        </is>
      </c>
      <c r="C192" s="16" t="inlineStr">
        <is>
          <t>1773372249105_1773372249305</t>
        </is>
      </c>
      <c r="D192" s="42">
        <f>IMAGE("https://liskibruh.github.io/l4_data_sheets_table_images_mapper/l4_problematic_frames/media/image215.png")</f>
        <v/>
      </c>
      <c r="E192" s="42" t="n"/>
      <c r="F192" s="42" t="n"/>
      <c r="G192" s="7" t="n"/>
      <c r="I192" s="7" t="inlineStr">
        <is>
          <t>Missed Truck</t>
        </is>
      </c>
    </row>
    <row r="193" ht="43.5" customHeight="1" thickBot="1">
      <c r="A193" s="27" t="inlineStr">
        <is>
          <t>2026-03-13_03-03-32</t>
        </is>
      </c>
      <c r="B193" s="7" t="inlineStr">
        <is>
          <t>1773372251204_1773372271105</t>
        </is>
      </c>
      <c r="C193" s="16" t="inlineStr">
        <is>
          <t>1773372268104,1773372261604,1773372261504,1773372261704,1773372262705,</t>
        </is>
      </c>
      <c r="D193" s="42">
        <f>IMAGE("https://liskibruh.github.io/l4_data_sheets_table_images_mapper/l4_problematic_frames/media/image216.png")</f>
        <v/>
      </c>
      <c r="E193" s="42" t="n"/>
      <c r="F193" s="42" t="n"/>
      <c r="G193" s="7" t="n"/>
      <c r="I193" s="7" t="inlineStr">
        <is>
          <t>Missed Static Objects</t>
        </is>
      </c>
    </row>
    <row r="194" ht="16.5" customHeight="1" thickBot="1">
      <c r="A194" s="27" t="inlineStr">
        <is>
          <t>2026-03-13_03-03-32</t>
        </is>
      </c>
      <c r="B194" s="7" t="inlineStr">
        <is>
          <t>1773372251204_1773372271105</t>
        </is>
      </c>
      <c r="C194" s="16" t="n">
        <v>1773372347705</v>
      </c>
      <c r="D194" s="42">
        <f>IMAGE("https://liskibruh.github.io/l4_data_sheets_table_images_mapper/l4_problematic_frames/media/image217.png")</f>
        <v/>
      </c>
      <c r="E194" s="42" t="n"/>
      <c r="F194" s="42" t="n"/>
      <c r="G194" s="7" t="n"/>
      <c r="I194" s="7" t="inlineStr">
        <is>
          <t>Missed Truck</t>
        </is>
      </c>
    </row>
    <row r="195" ht="16.5" customHeight="1" thickBot="1">
      <c r="A195" s="1" t="inlineStr">
        <is>
          <t>2026-03-13_03-03-32</t>
        </is>
      </c>
      <c r="B195" s="2" t="inlineStr">
        <is>
          <t>1773371368705_1773371388704</t>
        </is>
      </c>
      <c r="C195" s="17" t="n">
        <v>1773371376904</v>
      </c>
      <c r="D195" s="24">
        <f>IMAGE("https://liskibruh.github.io/l4_data_sheets_table_images_mapper/l4_problematic_frames/media/image218.png")</f>
        <v/>
      </c>
      <c r="E195" s="24">
        <f>IMAGE("https://liskibruh.github.io/l4_data_sheets_table_images_mapper/l4_problematic_frames/media/image219.png")</f>
        <v/>
      </c>
      <c r="F195" s="45" t="n"/>
      <c r="G195" s="2" t="n"/>
      <c r="I195" s="2" t="inlineStr">
        <is>
          <t>Missing Truck</t>
        </is>
      </c>
    </row>
    <row r="196">
      <c r="A196" s="1" t="inlineStr">
        <is>
          <t>2026-03-13_03-03-32</t>
        </is>
      </c>
      <c r="B196" s="1" t="inlineStr">
        <is>
          <t>1773371368705_1773371388704</t>
        </is>
      </c>
      <c r="C196" s="55" t="inlineStr">
        <is>
          <t>1773371377304 - 1773371378204</t>
        </is>
      </c>
      <c r="D196" s="64">
        <f>IMAGE("https://liskibruh.github.io/l4_data_sheets_table_images_mapper/l4_problematic_frames/media/image220.png")</f>
        <v/>
      </c>
      <c r="E196" s="64">
        <f>IMAGE("https://liskibruh.github.io/l4_data_sheets_table_images_mapper/l4_problematic_frames/media/image221.png")</f>
        <v/>
      </c>
      <c r="F196" s="56" t="n"/>
      <c r="G196" s="1" t="n"/>
      <c r="I196" s="1" t="inlineStr">
        <is>
          <t>False Positive Truck</t>
        </is>
      </c>
    </row>
    <row r="197" ht="15.75" customHeight="1" thickBot="1">
      <c r="A197" s="59" t="n"/>
      <c r="B197" s="59" t="n"/>
      <c r="C197" s="59" t="n"/>
      <c r="D197" s="59" t="n"/>
      <c r="E197" s="59" t="n"/>
      <c r="F197" s="59" t="n"/>
      <c r="G197" s="59" t="n"/>
      <c r="I197" s="59" t="n"/>
    </row>
    <row r="198" ht="16.5" customHeight="1" thickBot="1">
      <c r="A198" s="27" t="inlineStr">
        <is>
          <t>2026-03-13_03-03-32</t>
        </is>
      </c>
      <c r="B198" s="7" t="inlineStr">
        <is>
          <t>1773371368705_1773371388704</t>
        </is>
      </c>
      <c r="C198" s="16" t="inlineStr">
        <is>
          <t>1773371381504 - 1773371382505</t>
        </is>
      </c>
      <c r="D198" s="25">
        <f>IMAGE("https://liskibruh.github.io/l4_data_sheets_table_images_mapper/l4_problematic_frames/media/image222.png")</f>
        <v/>
      </c>
      <c r="E198" s="25">
        <f>IMAGE("https://liskibruh.github.io/l4_data_sheets_table_images_mapper/l4_problematic_frames/media/image223.png")</f>
        <v/>
      </c>
      <c r="F198" s="42" t="n"/>
      <c r="G198" s="7" t="n"/>
      <c r="I198" s="7" t="inlineStr">
        <is>
          <t>Missing Car</t>
        </is>
      </c>
    </row>
    <row r="199" ht="98.25" customHeight="1">
      <c r="A199" s="1" t="inlineStr">
        <is>
          <t>2026-03-13_03-03-32 and 2026-03-13_03-03-32</t>
        </is>
      </c>
      <c r="B199" s="1" t="inlineStr">
        <is>
          <t>1773371408805_1773371428704</t>
        </is>
      </c>
      <c r="C199" s="55" t="inlineStr">
        <is>
          <t>1773371383704 - 1773371390904, 1773371392104 - 1773371394904, 1773371395105, 1773371398604 - 1773371399504, 1773371400705 - 1773371403804, 1773371407104 - 1773371408705, 1773371410005 - 1773371411004, 1773371414304 - 1773371415204</t>
        </is>
      </c>
      <c r="D199" s="56">
        <f>IMAGE("https://liskibruh.github.io/l4_data_sheets_table_images_mapper/l4_problematic_frames/media/image224.png")</f>
        <v/>
      </c>
      <c r="E199" s="56">
        <f>IMAGE("https://liskibruh.github.io/l4_data_sheets_table_images_mapper/l4_problematic_frames/media/image225.png")</f>
        <v/>
      </c>
      <c r="F199" s="56" t="n"/>
      <c r="G199" s="1" t="n"/>
      <c r="I199" s="1" t="inlineStr">
        <is>
          <t>False Positive Trucks</t>
        </is>
      </c>
    </row>
    <row r="200" ht="15.75" customHeight="1" thickBot="1">
      <c r="A200" s="59" t="n"/>
      <c r="B200" s="59" t="n"/>
      <c r="C200" s="59" t="n"/>
      <c r="D200" s="59" t="n"/>
      <c r="E200" s="59" t="n"/>
      <c r="F200" s="59" t="n"/>
      <c r="G200" s="59" t="n"/>
      <c r="I200" s="59" t="n"/>
    </row>
    <row r="201" ht="43.5" customHeight="1" thickBot="1">
      <c r="A201" s="27" t="inlineStr">
        <is>
          <t>2026-03-13_03-03-32</t>
        </is>
      </c>
      <c r="B201" s="7" t="inlineStr">
        <is>
          <t>1773371408805_1773371428704</t>
        </is>
      </c>
      <c r="C201" s="16" t="inlineStr">
        <is>
          <t>1773371421604 - 1773371422604</t>
        </is>
      </c>
      <c r="D201" s="25">
        <f>IMAGE("https://liskibruh.github.io/l4_data_sheets_table_images_mapper/l4_problematic_frames/media/image226.png")</f>
        <v/>
      </c>
      <c r="E201" s="25">
        <f>IMAGE("https://liskibruh.github.io/l4_data_sheets_table_images_mapper/l4_problematic_frames/media/image227.png")</f>
        <v/>
      </c>
      <c r="F201" s="42" t="n"/>
      <c r="G201" s="7" t="n"/>
      <c r="I201" s="7" t="inlineStr">
        <is>
          <t>Misoriented Direction of Truck</t>
        </is>
      </c>
    </row>
    <row r="202">
      <c r="A202" s="1" t="inlineStr">
        <is>
          <t>2026-03-13_03-03-32</t>
        </is>
      </c>
      <c r="B202" s="1" t="inlineStr">
        <is>
          <t>1773371408805_1773371428704</t>
        </is>
      </c>
      <c r="C202" s="55" t="inlineStr">
        <is>
          <t>1773371422705 - 1773371423705, 1773371427004 - 1773371427904</t>
        </is>
      </c>
      <c r="D202" s="64">
        <f>IMAGE("https://liskibruh.github.io/l4_data_sheets_table_images_mapper/l4_problematic_frames/media/image228.png")</f>
        <v/>
      </c>
      <c r="E202" s="64">
        <f>IMAGE("https://liskibruh.github.io/l4_data_sheets_table_images_mapper/l4_problematic_frames/media/image229.png")</f>
        <v/>
      </c>
      <c r="F202" s="56" t="n"/>
      <c r="G202" s="1" t="n"/>
      <c r="I202" s="1" t="inlineStr">
        <is>
          <t>Missing Static Objects</t>
        </is>
      </c>
    </row>
    <row r="203" ht="15.75" customHeight="1" thickBot="1">
      <c r="A203" s="59" t="n"/>
      <c r="B203" s="59" t="n"/>
      <c r="C203" s="59" t="n"/>
      <c r="D203" s="59" t="n"/>
      <c r="E203" s="59" t="n"/>
      <c r="F203" s="59" t="n"/>
      <c r="G203" s="59" t="n"/>
      <c r="I203" s="59" t="n"/>
    </row>
    <row r="204" ht="129" customHeight="1" thickBot="1">
      <c r="A204" s="27" t="inlineStr">
        <is>
          <t>2026-03-13_03-03-32</t>
        </is>
      </c>
      <c r="B204" s="7" t="inlineStr">
        <is>
          <t>1773371428904_1773371448805</t>
        </is>
      </c>
      <c r="C204" s="16" t="inlineStr">
        <is>
          <t>1773371434000, 1773371434703, 1773371434903, 1773371435303, 1773371435503, 1773371437803, 1773371438403, 1773371438703, 1773371440700, 1773371441200, 1773371441903, 1773371442503, 1773371443503, 1773371443803, 1773371444103, 1773371445000, 1773371446100, 1773371446700</t>
        </is>
      </c>
      <c r="D204" s="42">
        <f>IMAGE("https://liskibruh.github.io/l4_data_sheets_table_images_mapper/l4_problematic_frames/media/image230.png")</f>
        <v/>
      </c>
      <c r="E204" s="42">
        <f>IMAGE("https://liskibruh.github.io/l4_data_sheets_table_images_mapper/l4_problematic_frames/media/image231.png")</f>
        <v/>
      </c>
      <c r="F204" s="42" t="n"/>
      <c r="G204" s="7" t="n"/>
      <c r="I204" s="7" t="inlineStr">
        <is>
          <t>Missing LiDAR Points</t>
        </is>
      </c>
    </row>
    <row r="205" ht="16.5" customHeight="1" thickBot="1">
      <c r="A205" s="27" t="inlineStr">
        <is>
          <t>2026-03-13_03-03-32</t>
        </is>
      </c>
      <c r="B205" s="7" t="inlineStr">
        <is>
          <t>1773371428904_1773371448805</t>
        </is>
      </c>
      <c r="C205" s="16" t="n">
        <v>1773371446804</v>
      </c>
      <c r="D205" s="25">
        <f>IMAGE("https://liskibruh.github.io/l4_data_sheets_table_images_mapper/l4_problematic_frames/media/image232.png")</f>
        <v/>
      </c>
      <c r="E205" s="25">
        <f>IMAGE("https://liskibruh.github.io/l4_data_sheets_table_images_mapper/l4_problematic_frames/media/image233.png")</f>
        <v/>
      </c>
      <c r="F205" s="42" t="n"/>
      <c r="G205" s="7" t="n"/>
      <c r="I205" s="7" t="inlineStr">
        <is>
          <t>Missing Truck</t>
        </is>
      </c>
    </row>
    <row r="206">
      <c r="A206" s="1" t="inlineStr">
        <is>
          <t>2026-03-13_03-03-32</t>
        </is>
      </c>
      <c r="B206" s="1" t="inlineStr">
        <is>
          <t>1773371428904_1773371448805</t>
        </is>
      </c>
      <c r="C206" s="55" t="inlineStr">
        <is>
          <t xml:space="preserve">1773371447503, </t>
        </is>
      </c>
      <c r="D206" s="64">
        <f>IMAGE("https://liskibruh.github.io/l4_data_sheets_table_images_mapper/l4_problematic_frames/media/image234.png")</f>
        <v/>
      </c>
      <c r="E206" s="64">
        <f>IMAGE("https://liskibruh.github.io/l4_data_sheets_table_images_mapper/l4_problematic_frames/media/image235.png")</f>
        <v/>
      </c>
      <c r="F206" s="56" t="n"/>
      <c r="G206" s="1" t="n"/>
      <c r="I206" s="1" t="inlineStr">
        <is>
          <t>Missing LiDAR Points</t>
        </is>
      </c>
    </row>
    <row r="207" ht="15.75" customHeight="1" thickBot="1">
      <c r="A207" s="59" t="n"/>
      <c r="B207" s="59" t="n"/>
      <c r="C207" s="59" t="n"/>
      <c r="D207" s="59" t="n"/>
      <c r="E207" s="59" t="n"/>
      <c r="F207" s="59" t="n"/>
      <c r="G207" s="59" t="n"/>
      <c r="I207" s="59" t="n"/>
    </row>
    <row r="208" ht="16.5" customHeight="1" thickBot="1">
      <c r="A208" s="27" t="inlineStr">
        <is>
          <t>2026-03-13_03-03-32</t>
        </is>
      </c>
      <c r="B208" s="7" t="inlineStr">
        <is>
          <t>1773371428904_1773371448805</t>
        </is>
      </c>
      <c r="C208" s="16" t="n">
        <v>1773371447905</v>
      </c>
      <c r="D208" s="25">
        <f>IMAGE("https://liskibruh.github.io/l4_data_sheets_table_images_mapper/l4_problematic_frames/media/image236.png")</f>
        <v/>
      </c>
      <c r="E208" s="25">
        <f>IMAGE("https://liskibruh.github.io/l4_data_sheets_table_images_mapper/l4_problematic_frames/media/image237.png")</f>
        <v/>
      </c>
      <c r="F208" s="42" t="n"/>
      <c r="G208" s="7" t="n"/>
      <c r="I208" s="7" t="inlineStr">
        <is>
          <t>Missing Truck</t>
        </is>
      </c>
    </row>
    <row r="209" ht="27" customHeight="1">
      <c r="A209" s="1" t="inlineStr">
        <is>
          <t>2026-03-13_03-03-32</t>
        </is>
      </c>
      <c r="B209" s="1" t="inlineStr">
        <is>
          <t>1773371448905_1773371468904</t>
        </is>
      </c>
      <c r="C209" s="55" t="inlineStr">
        <is>
          <t>1773371448103, 1773371449700, 1773371449804, 1773371450903, 1773371451203, 1773371451703</t>
        </is>
      </c>
      <c r="D209" s="64">
        <f>IMAGE("https://liskibruh.github.io/l4_data_sheets_table_images_mapper/l4_problematic_frames/media/image238.png")</f>
        <v/>
      </c>
      <c r="E209" s="64">
        <f>IMAGE("https://liskibruh.github.io/l4_data_sheets_table_images_mapper/l4_problematic_frames/media/image239.png")</f>
        <v/>
      </c>
      <c r="F209" s="64">
        <f>IMAGE("https://liskibruh.github.io/l4_data_sheets_table_images_mapper/l4_problematic_frames/media/image240.png")</f>
        <v/>
      </c>
      <c r="G209" s="1" t="n"/>
      <c r="I209" s="1" t="inlineStr">
        <is>
          <t>Missing LiDAR Points/ Missing Truck</t>
        </is>
      </c>
    </row>
    <row r="210" ht="15.75" customHeight="1" thickBot="1">
      <c r="A210" s="59" t="n"/>
      <c r="B210" s="59" t="n"/>
      <c r="C210" s="59" t="n"/>
      <c r="D210" s="59" t="n"/>
      <c r="E210" s="59" t="n"/>
      <c r="F210" s="59" t="n"/>
      <c r="G210" s="59" t="n"/>
      <c r="I210" s="59" t="n"/>
    </row>
    <row r="211" ht="29.25" customHeight="1" thickBot="1">
      <c r="A211" s="27" t="inlineStr">
        <is>
          <t>2026-03-13_03-03-32</t>
        </is>
      </c>
      <c r="B211" s="7" t="inlineStr">
        <is>
          <t>1773371448905_1773371468904</t>
        </is>
      </c>
      <c r="C211" s="16" t="inlineStr">
        <is>
          <t>1773371451905 - 1773371452805</t>
        </is>
      </c>
      <c r="D211" s="25">
        <f>IMAGE("https://liskibruh.github.io/l4_data_sheets_table_images_mapper/l4_problematic_frames/media/image241.png")</f>
        <v/>
      </c>
      <c r="E211" s="25">
        <f>IMAGE("https://liskibruh.github.io/l4_data_sheets_table_images_mapper/l4_problematic_frames/media/image242.png")</f>
        <v/>
      </c>
      <c r="F211" s="42" t="n"/>
      <c r="G211" s="7" t="n"/>
      <c r="I211" s="7" t="inlineStr">
        <is>
          <t>Missing Trucks</t>
        </is>
      </c>
    </row>
    <row r="212" ht="43.5" customHeight="1" thickBot="1">
      <c r="A212" s="27" t="inlineStr">
        <is>
          <t>2026-03-13_03-03-32</t>
        </is>
      </c>
      <c r="B212" s="7" t="inlineStr">
        <is>
          <t>1773371448905_1773371468904</t>
        </is>
      </c>
      <c r="C212" s="16" t="inlineStr">
        <is>
          <t>1773371455705 - 1773371456605</t>
        </is>
      </c>
      <c r="D212" s="25">
        <f>IMAGE("https://liskibruh.github.io/l4_data_sheets_table_images_mapper/l4_problematic_frames/media/image243.png")</f>
        <v/>
      </c>
      <c r="E212" s="25">
        <f>IMAGE("https://liskibruh.github.io/l4_data_sheets_table_images_mapper/l4_problematic_frames/media/image244.png")</f>
        <v/>
      </c>
      <c r="F212" s="42" t="n"/>
      <c r="G212" s="7" t="n"/>
      <c r="I212" s="7" t="inlineStr">
        <is>
          <t>Misoriented Direction of Truck</t>
        </is>
      </c>
    </row>
    <row r="213" ht="29.25" customHeight="1" thickBot="1">
      <c r="A213" s="27" t="inlineStr">
        <is>
          <t>2026-03-13_03-03-32</t>
        </is>
      </c>
      <c r="B213" s="7" t="inlineStr">
        <is>
          <t>1773371448905_1773371468904</t>
        </is>
      </c>
      <c r="C213" s="16" t="inlineStr">
        <is>
          <t>1773371457904 - 1773371458905</t>
        </is>
      </c>
      <c r="D213" s="25">
        <f>IMAGE("https://liskibruh.github.io/l4_data_sheets_table_images_mapper/l4_problematic_frames/media/image245.png")</f>
        <v/>
      </c>
      <c r="E213" s="25">
        <f>IMAGE("https://liskibruh.github.io/l4_data_sheets_table_images_mapper/l4_problematic_frames/media/image246.png")</f>
        <v/>
      </c>
      <c r="F213" s="42" t="n"/>
      <c r="G213" s="7" t="n"/>
      <c r="I213" s="7" t="inlineStr">
        <is>
          <t>Missing Trucks</t>
        </is>
      </c>
    </row>
    <row r="214" ht="57.75" customHeight="1" thickBot="1">
      <c r="A214" s="27" t="inlineStr">
        <is>
          <t>2026-03-13_03-03-32</t>
        </is>
      </c>
      <c r="B214" s="7" t="inlineStr">
        <is>
          <t>1773371448905_1773371468904</t>
        </is>
      </c>
      <c r="C214" s="16" t="inlineStr">
        <is>
          <t>1773371461105 - 1773371462004, 1773371463204, 1773371463304, 1773371463505, 1773371463605, 1773371463905 - 1773371464205</t>
        </is>
      </c>
      <c r="D214" s="25">
        <f>IMAGE("https://liskibruh.github.io/l4_data_sheets_table_images_mapper/l4_problematic_frames/media/image247.png")</f>
        <v/>
      </c>
      <c r="E214" s="25">
        <f>IMAGE("https://liskibruh.github.io/l4_data_sheets_table_images_mapper/l4_problematic_frames/media/image248.png")</f>
        <v/>
      </c>
      <c r="F214" s="42" t="n"/>
      <c r="G214" s="7" t="n"/>
      <c r="I214" s="7" t="inlineStr">
        <is>
          <t>False Positive Static Objects</t>
        </is>
      </c>
    </row>
    <row r="215" ht="29.25" customHeight="1" thickBot="1">
      <c r="A215" s="27" t="inlineStr">
        <is>
          <t>2026-03-13_03-03-32</t>
        </is>
      </c>
      <c r="B215" s="7" t="inlineStr">
        <is>
          <t>1773371469104_1773371489004</t>
        </is>
      </c>
      <c r="C215" s="16" t="inlineStr">
        <is>
          <t>1773371471505 - 1773371473905</t>
        </is>
      </c>
      <c r="D215" s="25">
        <f>IMAGE("https://liskibruh.github.io/l4_data_sheets_table_images_mapper/l4_problematic_frames/media/image249.png")</f>
        <v/>
      </c>
      <c r="E215" s="25">
        <f>IMAGE("https://liskibruh.github.io/l4_data_sheets_table_images_mapper/l4_problematic_frames/media/image250.png")</f>
        <v/>
      </c>
      <c r="F215" s="42" t="n"/>
      <c r="G215" s="7" t="n"/>
      <c r="I215" s="7" t="inlineStr">
        <is>
          <t>False Positive Trucks</t>
        </is>
      </c>
    </row>
    <row r="216" ht="29.25" customHeight="1" thickBot="1">
      <c r="A216" s="27" t="inlineStr">
        <is>
          <t>2026-03-13_03-03-32</t>
        </is>
      </c>
      <c r="B216" s="7" t="inlineStr">
        <is>
          <t>1773371469104_1773371489004</t>
        </is>
      </c>
      <c r="C216" s="16" t="inlineStr">
        <is>
          <t>1773371475604, 1773371476005</t>
        </is>
      </c>
      <c r="D216" s="25">
        <f>IMAGE("https://liskibruh.github.io/l4_data_sheets_table_images_mapper/l4_problematic_frames/media/image251.png")</f>
        <v/>
      </c>
      <c r="E216" s="25">
        <f>IMAGE("https://liskibruh.github.io/l4_data_sheets_table_images_mapper/l4_problematic_frames/media/image252.png")</f>
        <v/>
      </c>
      <c r="F216" s="42" t="n"/>
      <c r="G216" s="7" t="n"/>
      <c r="I216" s="7" t="inlineStr">
        <is>
          <t>Missing Static Object</t>
        </is>
      </c>
    </row>
    <row r="217" ht="27" customHeight="1">
      <c r="A217" s="1" t="inlineStr">
        <is>
          <t>2026-03-13_03-03-32</t>
        </is>
      </c>
      <c r="B217" s="1" t="inlineStr">
        <is>
          <t>1773371469104_1773371489004</t>
        </is>
      </c>
      <c r="C217" s="55" t="inlineStr">
        <is>
          <t>1773371476904 - 1773371479305, 1773371483005 - 1773371484104, 1773371487604 - 1773371489004</t>
        </is>
      </c>
      <c r="D217" s="64">
        <f>IMAGE("https://liskibruh.github.io/l4_data_sheets_table_images_mapper/l4_problematic_frames/media/image253.png")</f>
        <v/>
      </c>
      <c r="E217" s="64">
        <f>IMAGE("https://liskibruh.github.io/l4_data_sheets_table_images_mapper/l4_problematic_frames/media/image254.png")</f>
        <v/>
      </c>
      <c r="F217" s="56" t="n"/>
      <c r="G217" s="1" t="n"/>
      <c r="I217" s="1" t="inlineStr">
        <is>
          <t>False Positive Truck</t>
        </is>
      </c>
    </row>
    <row r="218" ht="15.75" customHeight="1" thickBot="1">
      <c r="A218" s="59" t="n"/>
      <c r="B218" s="59" t="n"/>
      <c r="C218" s="59" t="n"/>
      <c r="D218" s="59" t="n"/>
      <c r="E218" s="59" t="n"/>
      <c r="F218" s="59" t="n"/>
      <c r="G218" s="59" t="n"/>
      <c r="I218" s="59" t="n"/>
    </row>
    <row r="219">
      <c r="A219" s="1" t="inlineStr">
        <is>
          <t>2026-03-13_03-03-32</t>
        </is>
      </c>
      <c r="B219" s="1" t="inlineStr">
        <is>
          <t>1773371489204_1773371509105</t>
        </is>
      </c>
      <c r="C219" s="55" t="inlineStr">
        <is>
          <t>1773371504505 - 1773371505304</t>
        </is>
      </c>
      <c r="D219" s="64">
        <f>IMAGE("https://liskibruh.github.io/l4_data_sheets_table_images_mapper/l4_problematic_frames/media/image255.png")</f>
        <v/>
      </c>
      <c r="E219" s="64">
        <f>IMAGE("https://liskibruh.github.io/l4_data_sheets_table_images_mapper/l4_problematic_frames/media/image256.png")</f>
        <v/>
      </c>
      <c r="F219" s="56" t="n"/>
      <c r="G219" s="1" t="n"/>
      <c r="I219" s="1" t="inlineStr">
        <is>
          <t>Misoriented Direction of Trucks</t>
        </is>
      </c>
    </row>
    <row r="220" ht="15.75" customHeight="1" thickBot="1">
      <c r="A220" s="59" t="n"/>
      <c r="B220" s="59" t="n"/>
      <c r="C220" s="59" t="n"/>
      <c r="D220" s="59" t="n"/>
      <c r="E220" s="59" t="n"/>
      <c r="F220" s="59" t="n"/>
      <c r="G220" s="59" t="n"/>
      <c r="I220" s="59" t="n"/>
    </row>
    <row r="221">
      <c r="A221" s="1" t="inlineStr">
        <is>
          <t>2026-03-13_03-03-32</t>
        </is>
      </c>
      <c r="B221" s="1" t="inlineStr">
        <is>
          <t>1773371489204_1773371509105</t>
        </is>
      </c>
      <c r="C221" s="55" t="inlineStr">
        <is>
          <t>1773371507204 - 1773371508205</t>
        </is>
      </c>
      <c r="D221" s="64">
        <f>IMAGE("https://liskibruh.github.io/l4_data_sheets_table_images_mapper/l4_problematic_frames/media/image257.png")</f>
        <v/>
      </c>
      <c r="E221" s="64">
        <f>IMAGE("https://liskibruh.github.io/l4_data_sheets_table_images_mapper/l4_problematic_frames/media/image258.png")</f>
        <v/>
      </c>
      <c r="F221" s="56" t="n"/>
      <c r="G221" s="1" t="n"/>
      <c r="I221" s="1" t="inlineStr">
        <is>
          <t>False Positive Truck + Missing Truck</t>
        </is>
      </c>
    </row>
    <row r="222" ht="15.75" customHeight="1" thickBot="1">
      <c r="A222" s="59" t="n"/>
      <c r="B222" s="59" t="n"/>
      <c r="C222" s="59" t="n"/>
      <c r="D222" s="59" t="n"/>
      <c r="E222" s="59" t="n"/>
      <c r="F222" s="59" t="n"/>
      <c r="G222" s="59" t="n"/>
      <c r="I222" s="59" t="n"/>
    </row>
    <row r="223" ht="16.5" customHeight="1" thickBot="1">
      <c r="A223" s="27" t="inlineStr">
        <is>
          <t>2026-03-13_03-03-32</t>
        </is>
      </c>
      <c r="B223" s="7" t="inlineStr">
        <is>
          <t>1773371489204_1773371509105</t>
        </is>
      </c>
      <c r="C223" s="16" t="n">
        <v>1773371509105</v>
      </c>
      <c r="D223" s="25">
        <f>IMAGE("https://liskibruh.github.io/l4_data_sheets_table_images_mapper/l4_problematic_frames/media/image259.png")</f>
        <v/>
      </c>
      <c r="E223" s="25">
        <f>IMAGE("https://liskibruh.github.io/l4_data_sheets_table_images_mapper/l4_problematic_frames/media/image260.png")</f>
        <v/>
      </c>
      <c r="F223" s="42" t="n"/>
      <c r="G223" s="7" t="n"/>
      <c r="I223" s="7" t="inlineStr">
        <is>
          <t>Missing Truck</t>
        </is>
      </c>
    </row>
    <row r="224" ht="29.25" customHeight="1" thickBot="1">
      <c r="A224" s="27" t="inlineStr">
        <is>
          <t>2026-03-13_03-03-32</t>
        </is>
      </c>
      <c r="B224" s="7" t="inlineStr">
        <is>
          <t>1773371509204_1773371529104</t>
        </is>
      </c>
      <c r="C224" s="16" t="inlineStr">
        <is>
          <t>1773371510004 - 1773371510805</t>
        </is>
      </c>
      <c r="D224" s="25">
        <f>IMAGE("https://liskibruh.github.io/l4_data_sheets_table_images_mapper/l4_problematic_frames/media/image261.png")</f>
        <v/>
      </c>
      <c r="E224" s="25">
        <f>IMAGE("https://liskibruh.github.io/l4_data_sheets_table_images_mapper/l4_problematic_frames/media/image262.png")</f>
        <v/>
      </c>
      <c r="F224" s="42" t="n"/>
      <c r="G224" s="7" t="n"/>
      <c r="I224" s="7" t="inlineStr">
        <is>
          <t>False Positive Static Objects</t>
        </is>
      </c>
    </row>
    <row r="225" ht="43.5" customHeight="1" thickBot="1">
      <c r="A225" s="27" t="inlineStr">
        <is>
          <t>2026-03-13_03-03-32</t>
        </is>
      </c>
      <c r="B225" s="7" t="inlineStr">
        <is>
          <t>1773371509204_1773371529104</t>
        </is>
      </c>
      <c r="C225" s="16" t="inlineStr">
        <is>
          <t>1773371517805 - 1773371518705</t>
        </is>
      </c>
      <c r="D225" s="25">
        <f>IMAGE("https://liskibruh.github.io/l4_data_sheets_table_images_mapper/l4_problematic_frames/media/image263.png")</f>
        <v/>
      </c>
      <c r="E225" s="25">
        <f>IMAGE("https://liskibruh.github.io/l4_data_sheets_table_images_mapper/l4_problematic_frames/media/image264.png")</f>
        <v/>
      </c>
      <c r="F225" s="42" t="n"/>
      <c r="G225" s="7" t="n"/>
      <c r="I225" s="7" t="inlineStr">
        <is>
          <t>Misoriented Direction of Truck</t>
        </is>
      </c>
    </row>
    <row r="226" ht="29.25" customHeight="1" thickBot="1">
      <c r="A226" s="27" t="inlineStr">
        <is>
          <t>2026-03-13_03-03-32</t>
        </is>
      </c>
      <c r="B226" s="7" t="inlineStr">
        <is>
          <t>1773371509204_1773371529104</t>
        </is>
      </c>
      <c r="C226" s="16" t="inlineStr">
        <is>
          <t>1773371518805 - 1773371519904</t>
        </is>
      </c>
      <c r="D226" s="25">
        <f>IMAGE("https://liskibruh.github.io/l4_data_sheets_table_images_mapper/l4_problematic_frames/media/image265.png")</f>
        <v/>
      </c>
      <c r="E226" s="25">
        <f>IMAGE("https://liskibruh.github.io/l4_data_sheets_table_images_mapper/l4_problematic_frames/media/image263.png")</f>
        <v/>
      </c>
      <c r="F226" s="42" t="n"/>
      <c r="G226" s="7" t="n"/>
      <c r="I226" s="7" t="inlineStr">
        <is>
          <t>False Positive Truck</t>
        </is>
      </c>
    </row>
    <row r="227">
      <c r="A227" s="1" t="inlineStr">
        <is>
          <t>2026-03-13_03-03-32</t>
        </is>
      </c>
      <c r="B227" s="1" t="inlineStr">
        <is>
          <t>1773371509204_1773371529104</t>
        </is>
      </c>
      <c r="C227" s="55" t="inlineStr">
        <is>
          <t>1773371523105 - 1773371523804</t>
        </is>
      </c>
      <c r="D227" s="64">
        <f>IMAGE("https://liskibruh.github.io/l4_data_sheets_table_images_mapper/l4_problematic_frames/media/image266.png")</f>
        <v/>
      </c>
      <c r="E227" s="64">
        <f>IMAGE("https://liskibruh.github.io/l4_data_sheets_table_images_mapper/l4_problematic_frames/media/image267.png")</f>
        <v/>
      </c>
      <c r="F227" s="56" t="n"/>
      <c r="G227" s="1" t="n"/>
      <c r="I227" s="1" t="inlineStr">
        <is>
          <t>False Positive Truck</t>
        </is>
      </c>
    </row>
    <row r="228" ht="15.75" customHeight="1" thickBot="1">
      <c r="A228" s="59" t="n"/>
      <c r="B228" s="59" t="n"/>
      <c r="C228" s="59" t="n"/>
      <c r="D228" s="59" t="n"/>
      <c r="E228" s="59" t="n"/>
      <c r="F228" s="59" t="n"/>
      <c r="G228" s="59" t="n"/>
      <c r="I228" s="59" t="n"/>
    </row>
    <row r="229" ht="27" customHeight="1">
      <c r="A229" s="1" t="inlineStr">
        <is>
          <t>2026-03-13_03-03-32</t>
        </is>
      </c>
      <c r="B229" s="1" t="inlineStr">
        <is>
          <t>1773371509204_1773371529104</t>
        </is>
      </c>
      <c r="C229" s="55" t="inlineStr">
        <is>
          <t>1773371526105 - 1773371526305, 1773371526505, 1773371526605 - 1773371527504</t>
        </is>
      </c>
      <c r="D229" s="64">
        <f>IMAGE("https://liskibruh.github.io/l4_data_sheets_table_images_mapper/l4_problematic_frames/media/image268.png")</f>
        <v/>
      </c>
      <c r="E229" s="64">
        <f>IMAGE("https://liskibruh.github.io/l4_data_sheets_table_images_mapper/l4_problematic_frames/media/image269.png")</f>
        <v/>
      </c>
      <c r="F229" s="56" t="n"/>
      <c r="G229" s="1" t="n"/>
      <c r="I229" s="1" t="inlineStr">
        <is>
          <t>False Positive Static Objects</t>
        </is>
      </c>
    </row>
    <row r="230" ht="15.75" customHeight="1" thickBot="1">
      <c r="A230" s="59" t="n"/>
      <c r="B230" s="59" t="n"/>
      <c r="C230" s="59" t="n"/>
      <c r="D230" s="59" t="n"/>
      <c r="E230" s="59" t="n"/>
      <c r="F230" s="59" t="n"/>
      <c r="G230" s="59" t="n"/>
      <c r="I230" s="59" t="n"/>
    </row>
    <row r="231" ht="29.25" customHeight="1" thickBot="1">
      <c r="A231" s="27" t="inlineStr">
        <is>
          <t>2026-03-13_03-03-32</t>
        </is>
      </c>
      <c r="B231" s="7" t="inlineStr">
        <is>
          <t>1773371529204_1773371549200</t>
        </is>
      </c>
      <c r="C231" s="16" t="inlineStr">
        <is>
          <t>1773371530105 - 1773371532004</t>
        </is>
      </c>
      <c r="D231" s="25">
        <f>IMAGE("https://liskibruh.github.io/l4_data_sheets_table_images_mapper/l4_problematic_frames/media/image270.png")</f>
        <v/>
      </c>
      <c r="E231" s="25">
        <f>IMAGE("https://liskibruh.github.io/l4_data_sheets_table_images_mapper/l4_problematic_frames/media/image271.png")</f>
        <v/>
      </c>
      <c r="F231" s="42" t="n"/>
      <c r="G231" s="7" t="n"/>
      <c r="I231" s="7" t="inlineStr">
        <is>
          <t>Missing Static Object</t>
        </is>
      </c>
    </row>
    <row r="232" ht="27" customHeight="1">
      <c r="A232" s="1" t="inlineStr">
        <is>
          <t>2026-03-13_03-03-32</t>
        </is>
      </c>
      <c r="B232" s="1" t="inlineStr">
        <is>
          <t>1773371529204_1773371549200</t>
        </is>
      </c>
      <c r="C232" s="55" t="inlineStr">
        <is>
          <t>1773371539304 - 1773371543905</t>
        </is>
      </c>
      <c r="D232" s="64">
        <f>IMAGE("https://liskibruh.github.io/l4_data_sheets_table_images_mapper/l4_problematic_frames/media/image272.png")</f>
        <v/>
      </c>
      <c r="E232" s="64">
        <f>IMAGE("https://liskibruh.github.io/l4_data_sheets_table_images_mapper/l4_problematic_frames/media/image273.png")</f>
        <v/>
      </c>
      <c r="F232" s="56" t="n"/>
      <c r="G232" s="1" t="n"/>
      <c r="I232" s="1" t="inlineStr">
        <is>
          <t>Misoriented Direction of Truck + Missing Truck</t>
        </is>
      </c>
    </row>
    <row r="233" ht="15.75" customHeight="1" thickBot="1">
      <c r="A233" s="59" t="n"/>
      <c r="B233" s="59" t="n"/>
      <c r="C233" s="59" t="n"/>
      <c r="D233" s="59" t="n"/>
      <c r="E233" s="59" t="n"/>
      <c r="F233" s="59" t="n"/>
      <c r="G233" s="59" t="n"/>
      <c r="I233" s="59" t="n"/>
    </row>
    <row r="234" ht="43.5" customHeight="1" thickBot="1">
      <c r="A234" s="27" t="inlineStr">
        <is>
          <t>2026-03-13_03-03-32</t>
        </is>
      </c>
      <c r="B234" s="7" t="inlineStr">
        <is>
          <t>1773371549205_1773371569204</t>
        </is>
      </c>
      <c r="C234" s="16" t="inlineStr">
        <is>
          <t>1773371550004 - 1773371550905</t>
        </is>
      </c>
      <c r="D234" s="25">
        <f>IMAGE("https://liskibruh.github.io/l4_data_sheets_table_images_mapper/l4_problematic_frames/media/image274.png")</f>
        <v/>
      </c>
      <c r="E234" s="25">
        <f>IMAGE("https://liskibruh.github.io/l4_data_sheets_table_images_mapper/l4_problematic_frames/media/image275.png")</f>
        <v/>
      </c>
      <c r="F234" s="42" t="n"/>
      <c r="G234" s="7" t="n"/>
      <c r="I234" s="7" t="inlineStr">
        <is>
          <t>Misclassification of Truck as Car</t>
        </is>
      </c>
    </row>
    <row r="235" ht="16.5" customHeight="1" thickBot="1">
      <c r="A235" s="27" t="inlineStr">
        <is>
          <t>2026-03-13_03-03-32</t>
        </is>
      </c>
      <c r="B235" s="7" t="inlineStr">
        <is>
          <t>1773371549205_1773371569204</t>
        </is>
      </c>
      <c r="C235" s="16" t="n">
        <v>1773371556804</v>
      </c>
      <c r="D235" s="25">
        <f>IMAGE("https://liskibruh.github.io/l4_data_sheets_table_images_mapper/l4_problematic_frames/media/image276.png")</f>
        <v/>
      </c>
      <c r="E235" s="25">
        <f>IMAGE("https://liskibruh.github.io/l4_data_sheets_table_images_mapper/l4_problematic_frames/media/image277.png")</f>
        <v/>
      </c>
      <c r="F235" s="42" t="n"/>
      <c r="G235" s="7" t="n"/>
      <c r="I235" s="7" t="inlineStr">
        <is>
          <t>Missing Truck</t>
        </is>
      </c>
    </row>
    <row r="236">
      <c r="A236" s="1" t="inlineStr">
        <is>
          <t>2026-03-13_03-03-32</t>
        </is>
      </c>
      <c r="B236" s="1" t="inlineStr">
        <is>
          <t>1773371549205_1773371569204</t>
        </is>
      </c>
      <c r="C236" s="55" t="inlineStr">
        <is>
          <t>1773371559800, 1773371560000</t>
        </is>
      </c>
      <c r="D236" s="64">
        <f>IMAGE("https://liskibruh.github.io/l4_data_sheets_table_images_mapper/l4_problematic_frames/media/image278.png")</f>
        <v/>
      </c>
      <c r="E236" s="56" t="n"/>
      <c r="F236" s="56" t="n"/>
      <c r="G236" s="1" t="n"/>
      <c r="I236" s="1" t="inlineStr">
        <is>
          <t>Missing LiDAR Points</t>
        </is>
      </c>
    </row>
    <row r="237" ht="15.75" customHeight="1" thickBot="1">
      <c r="A237" s="59" t="n"/>
      <c r="B237" s="59" t="n"/>
      <c r="C237" s="59" t="n"/>
      <c r="D237" s="59" t="n"/>
      <c r="E237" s="59" t="n"/>
      <c r="F237" s="59" t="n"/>
      <c r="G237" s="59" t="n"/>
      <c r="I237" s="59" t="n"/>
    </row>
    <row r="238" ht="43.5" customHeight="1" thickBot="1">
      <c r="A238" s="27" t="inlineStr">
        <is>
          <t>2026-03-13_03-03-32</t>
        </is>
      </c>
      <c r="B238" s="7" t="inlineStr">
        <is>
          <t>1773371549205_1773371569204</t>
        </is>
      </c>
      <c r="C238" s="16" t="inlineStr">
        <is>
          <t>1773371561404 - 1773371562405</t>
        </is>
      </c>
      <c r="D238" s="25">
        <f>IMAGE("https://liskibruh.github.io/l4_data_sheets_table_images_mapper/l4_problematic_frames/media/image279.png")</f>
        <v/>
      </c>
      <c r="E238" s="25">
        <f>IMAGE("https://liskibruh.github.io/l4_data_sheets_table_images_mapper/l4_problematic_frames/media/image280.png")</f>
        <v/>
      </c>
      <c r="F238" s="42" t="n"/>
      <c r="G238" s="7" t="n"/>
      <c r="I238" s="7" t="inlineStr">
        <is>
          <t>Misclassification of Static Object as Car</t>
        </is>
      </c>
    </row>
    <row r="239">
      <c r="A239" s="1" t="inlineStr">
        <is>
          <t>2026-03-13_03-03-32</t>
        </is>
      </c>
      <c r="B239" s="1" t="inlineStr">
        <is>
          <t>1773371549205_1773371569204</t>
        </is>
      </c>
      <c r="C239" s="55" t="n">
        <v>1773371562200</v>
      </c>
      <c r="D239" s="64">
        <f>IMAGE("https://liskibruh.github.io/l4_data_sheets_table_images_mapper/l4_problematic_frames/media/image281.png")</f>
        <v/>
      </c>
      <c r="E239" s="56" t="n"/>
      <c r="F239" s="56" t="n"/>
      <c r="G239" s="1" t="n"/>
      <c r="I239" s="1" t="inlineStr">
        <is>
          <t>Missing LiDAR Points</t>
        </is>
      </c>
    </row>
    <row r="240" ht="15.75" customHeight="1" thickBot="1">
      <c r="A240" s="59" t="n"/>
      <c r="B240" s="59" t="n"/>
      <c r="C240" s="59" t="n"/>
      <c r="D240" s="59" t="n"/>
      <c r="E240" s="59" t="n"/>
      <c r="F240" s="59" t="n"/>
      <c r="G240" s="59" t="n"/>
      <c r="I240" s="59" t="n"/>
    </row>
    <row r="241">
      <c r="A241" s="1" t="inlineStr">
        <is>
          <t>2026-03-13_03-03-32</t>
        </is>
      </c>
      <c r="B241" s="1" t="inlineStr">
        <is>
          <t>1773371549205_1773371569204</t>
        </is>
      </c>
      <c r="C241" s="55" t="inlineStr">
        <is>
          <t>1773371561404 - 1773371562405</t>
        </is>
      </c>
      <c r="D241" s="64">
        <f>IMAGE("https://liskibruh.github.io/l4_data_sheets_table_images_mapper/l4_problematic_frames/media/image282.png")</f>
        <v/>
      </c>
      <c r="E241" s="64">
        <f>IMAGE("https://liskibruh.github.io/l4_data_sheets_table_images_mapper/l4_problematic_frames/media/image280.png")</f>
        <v/>
      </c>
      <c r="F241" s="56" t="n"/>
      <c r="G241" s="1" t="n"/>
      <c r="I241" s="1" t="inlineStr">
        <is>
          <t>Misclassification of Static Object as Car</t>
        </is>
      </c>
    </row>
    <row r="242" ht="15.75" customHeight="1" thickBot="1">
      <c r="A242" s="59" t="n"/>
      <c r="B242" s="59" t="n"/>
      <c r="C242" s="59" t="n"/>
      <c r="D242" s="59" t="n"/>
      <c r="E242" s="59" t="n"/>
      <c r="F242" s="59" t="n"/>
      <c r="G242" s="59" t="n"/>
      <c r="I242" s="59" t="n"/>
    </row>
    <row r="243" ht="43.5" customHeight="1" thickBot="1">
      <c r="A243" s="27" t="inlineStr">
        <is>
          <t>2026-03-13_03-03-32</t>
        </is>
      </c>
      <c r="B243" s="7" t="inlineStr">
        <is>
          <t>1773371549205_1773371569204</t>
        </is>
      </c>
      <c r="C243" s="16" t="inlineStr">
        <is>
          <t xml:space="preserve">1773371563000, 1773371563300, 1773371564200, 1773371565000, 1773371565300 </t>
        </is>
      </c>
      <c r="D243" s="25">
        <f>IMAGE("https://liskibruh.github.io/l4_data_sheets_table_images_mapper/l4_problematic_frames/media/image283.png")</f>
        <v/>
      </c>
      <c r="E243" s="42" t="n"/>
      <c r="F243" s="42" t="n"/>
      <c r="G243" s="7" t="n"/>
      <c r="I243" s="7" t="inlineStr">
        <is>
          <t>Missing LiDAR Points</t>
        </is>
      </c>
    </row>
    <row r="244" ht="29.25" customHeight="1" thickBot="1">
      <c r="A244" s="27" t="inlineStr">
        <is>
          <t>2026-03-13_03-03-32</t>
        </is>
      </c>
      <c r="B244" s="7" t="inlineStr">
        <is>
          <t>1773371569304_1773371589205</t>
        </is>
      </c>
      <c r="C244" s="16" t="inlineStr">
        <is>
          <t>1773371572604 - 1773371573905</t>
        </is>
      </c>
      <c r="D244" s="25">
        <f>IMAGE("https://liskibruh.github.io/l4_data_sheets_table_images_mapper/l4_problematic_frames/media/image284.png")</f>
        <v/>
      </c>
      <c r="E244" s="25">
        <f>IMAGE("https://liskibruh.github.io/l4_data_sheets_table_images_mapper/l4_problematic_frames/media/image285.png")</f>
        <v/>
      </c>
      <c r="F244" s="42" t="n"/>
      <c r="G244" s="7" t="n"/>
      <c r="I244" s="7" t="inlineStr">
        <is>
          <t>False Positive Static Objects</t>
        </is>
      </c>
    </row>
    <row r="245" ht="43.5" customHeight="1" thickBot="1">
      <c r="A245" s="27" t="inlineStr">
        <is>
          <t>2026-03-13_03-03-32</t>
        </is>
      </c>
      <c r="B245" s="7" t="inlineStr">
        <is>
          <t>1773371569304_1773371589205</t>
        </is>
      </c>
      <c r="C245" s="16" t="inlineStr">
        <is>
          <t>1773371575105 - 1773371577305</t>
        </is>
      </c>
      <c r="D245" s="25">
        <f>IMAGE("https://liskibruh.github.io/l4_data_sheets_table_images_mapper/l4_problematic_frames/media/image286.png")</f>
        <v/>
      </c>
      <c r="E245" s="25">
        <f>IMAGE("https://liskibruh.github.io/l4_data_sheets_table_images_mapper/l4_problematic_frames/media/image287.png")</f>
        <v/>
      </c>
      <c r="F245" s="42" t="n"/>
      <c r="G245" s="7" t="n"/>
      <c r="I245" s="7" t="inlineStr">
        <is>
          <t>Misoriented Direction of Truck</t>
        </is>
      </c>
    </row>
    <row r="246">
      <c r="A246" s="1" t="inlineStr">
        <is>
          <t>2026-03-13_03-03-32</t>
        </is>
      </c>
      <c r="B246" s="1" t="inlineStr">
        <is>
          <t>1773371569304_1773371589205</t>
        </is>
      </c>
      <c r="C246" s="55" t="inlineStr">
        <is>
          <t xml:space="preserve">1773371574800, 1773371578203, 1773371579403 </t>
        </is>
      </c>
      <c r="D246" s="64">
        <f>IMAGE("https://liskibruh.github.io/l4_data_sheets_table_images_mapper/l4_problematic_frames/media/image288.png")</f>
        <v/>
      </c>
      <c r="E246" s="56" t="n"/>
      <c r="F246" s="56" t="n"/>
      <c r="G246" s="1" t="n"/>
      <c r="I246" s="1" t="inlineStr">
        <is>
          <t>Missing LiDAR Points</t>
        </is>
      </c>
    </row>
    <row r="247" ht="15.75" customHeight="1" thickBot="1">
      <c r="A247" s="59" t="n"/>
      <c r="B247" s="59" t="n"/>
      <c r="C247" s="59" t="n"/>
      <c r="D247" s="59" t="n"/>
      <c r="E247" s="59" t="n"/>
      <c r="F247" s="59" t="n"/>
      <c r="G247" s="59" t="n"/>
      <c r="I247" s="59" t="n"/>
    </row>
    <row r="248" ht="43.5" customHeight="1" thickBot="1">
      <c r="A248" s="27" t="inlineStr">
        <is>
          <t>2026-03-13_03-03-32</t>
        </is>
      </c>
      <c r="B248" s="7" t="inlineStr">
        <is>
          <t>1773371569304_1773371589205</t>
        </is>
      </c>
      <c r="C248" s="16" t="inlineStr">
        <is>
          <t>1773371583604 - 1773371584505</t>
        </is>
      </c>
      <c r="D248" s="25">
        <f>IMAGE("https://liskibruh.github.io/l4_data_sheets_table_images_mapper/l4_problematic_frames/media/image289.png")</f>
        <v/>
      </c>
      <c r="E248" s="25">
        <f>IMAGE("https://liskibruh.github.io/l4_data_sheets_table_images_mapper/l4_problematic_frames/media/image290.png")</f>
        <v/>
      </c>
      <c r="F248" s="42" t="n"/>
      <c r="G248" s="7" t="n"/>
      <c r="I248" s="7" t="inlineStr">
        <is>
          <t>Misoriented Direction of Truck</t>
        </is>
      </c>
    </row>
    <row r="249">
      <c r="A249" s="1" t="inlineStr">
        <is>
          <t>2026-03-13_03-03-32</t>
        </is>
      </c>
      <c r="B249" s="1" t="inlineStr">
        <is>
          <t>1773371569304_1773371589205</t>
        </is>
      </c>
      <c r="C249" s="55" t="n">
        <v>1773371584600</v>
      </c>
      <c r="D249" s="64">
        <f>IMAGE("https://liskibruh.github.io/l4_data_sheets_table_images_mapper/l4_problematic_frames/media/image291.png")</f>
        <v/>
      </c>
      <c r="E249" s="56" t="n"/>
      <c r="F249" s="56" t="n"/>
      <c r="G249" s="1" t="n"/>
      <c r="I249" s="1" t="inlineStr">
        <is>
          <t>Missing LiDAR Points</t>
        </is>
      </c>
    </row>
    <row r="250" ht="15.75" customHeight="1" thickBot="1">
      <c r="A250" s="59" t="n"/>
      <c r="B250" s="59" t="n"/>
      <c r="C250" s="59" t="n"/>
      <c r="D250" s="59" t="n"/>
      <c r="E250" s="59" t="n"/>
      <c r="F250" s="59" t="n"/>
      <c r="G250" s="59" t="n"/>
      <c r="I250" s="59" t="n"/>
    </row>
    <row r="251" ht="29.25" customHeight="1" thickBot="1">
      <c r="A251" s="27" t="inlineStr">
        <is>
          <t>2026-03-13_03-03-32</t>
        </is>
      </c>
      <c r="B251" s="7" t="inlineStr">
        <is>
          <t>1773371569304_1773371589205</t>
        </is>
      </c>
      <c r="C251" s="16" t="inlineStr">
        <is>
          <t>1773371585005, 1773371585505, 1773371585904</t>
        </is>
      </c>
      <c r="D251" s="25">
        <f>IMAGE("https://liskibruh.github.io/l4_data_sheets_table_images_mapper/l4_problematic_frames/media/image292.png")</f>
        <v/>
      </c>
      <c r="E251" s="25">
        <f>IMAGE("https://liskibruh.github.io/l4_data_sheets_table_images_mapper/l4_problematic_frames/media/image293.png")</f>
        <v/>
      </c>
      <c r="F251" s="42" t="n"/>
      <c r="G251" s="7" t="n"/>
      <c r="I251" s="7" t="inlineStr">
        <is>
          <t>Missing Static Objects</t>
        </is>
      </c>
    </row>
    <row r="252">
      <c r="A252" s="1" t="inlineStr">
        <is>
          <t>2026-03-13_03-03-32</t>
        </is>
      </c>
      <c r="B252" s="1" t="inlineStr">
        <is>
          <t>1773371569304_1773371589205</t>
        </is>
      </c>
      <c r="C252" s="55" t="n">
        <v>1773371587603</v>
      </c>
      <c r="D252" s="64">
        <f>IMAGE("https://liskibruh.github.io/l4_data_sheets_table_images_mapper/l4_problematic_frames/media/image294.png")</f>
        <v/>
      </c>
      <c r="E252" s="56" t="n"/>
      <c r="F252" s="56" t="n"/>
      <c r="G252" s="1" t="n"/>
      <c r="I252" s="1" t="inlineStr">
        <is>
          <t>Missintg LiDAR Points</t>
        </is>
      </c>
    </row>
    <row r="253" ht="15.75" customHeight="1" thickBot="1">
      <c r="A253" s="59" t="n"/>
      <c r="B253" s="59" t="n"/>
      <c r="C253" s="59" t="n"/>
      <c r="D253" s="59" t="n"/>
      <c r="E253" s="59" t="n"/>
      <c r="F253" s="59" t="n"/>
      <c r="G253" s="59" t="n"/>
      <c r="I253" s="59" t="n"/>
    </row>
    <row r="254" ht="84" customHeight="1">
      <c r="A254" s="1" t="inlineStr">
        <is>
          <t>2026-03-13_03-03-32</t>
        </is>
      </c>
      <c r="B254" s="1" t="inlineStr">
        <is>
          <t>1773371569304_1773371589205 and 1773371589305_1773371609204</t>
        </is>
      </c>
      <c r="C254" s="55" t="inlineStr">
        <is>
          <t>1773371587705, 1773371588104, 1773371588203, 1773371588804 - 1773371589205, 1773371589403, 1773371589704, 1773371589803, 1773371590003, 1773371590203, 1773371590403, 1773371590905 - 1773371591304</t>
        </is>
      </c>
      <c r="D254" s="64">
        <f>IMAGE("https://liskibruh.github.io/l4_data_sheets_table_images_mapper/l4_problematic_frames/media/image295.png")</f>
        <v/>
      </c>
      <c r="E254" s="64">
        <f>IMAGE("https://liskibruh.github.io/l4_data_sheets_table_images_mapper/l4_problematic_frames/media/image296.png")</f>
        <v/>
      </c>
      <c r="F254" s="56" t="n"/>
      <c r="G254" s="1" t="n"/>
      <c r="I254" s="1" t="inlineStr">
        <is>
          <t>Missing Static Objects/ Missing LiDAR Points</t>
        </is>
      </c>
    </row>
    <row r="255" ht="15.75" customHeight="1" thickBot="1">
      <c r="A255" s="59" t="n"/>
      <c r="B255" s="59" t="n"/>
      <c r="C255" s="59" t="n"/>
      <c r="D255" s="59" t="n"/>
      <c r="E255" s="59" t="n"/>
      <c r="F255" s="59" t="n"/>
      <c r="G255" s="59" t="n"/>
      <c r="I255" s="59" t="n"/>
    </row>
    <row r="256">
      <c r="A256" s="1" t="inlineStr">
        <is>
          <t>2026-03-13_03-03-32</t>
        </is>
      </c>
      <c r="B256" s="1" t="inlineStr">
        <is>
          <t>1773371589305_1773371609204</t>
        </is>
      </c>
      <c r="C256" s="55" t="n">
        <v>1773371594504</v>
      </c>
      <c r="D256" s="64">
        <f>IMAGE("https://liskibruh.github.io/l4_data_sheets_table_images_mapper/l4_problematic_frames/media/image297.png")</f>
        <v/>
      </c>
      <c r="E256" s="64">
        <f>IMAGE("https://liskibruh.github.io/l4_data_sheets_table_images_mapper/l4_problematic_frames/media/image298.png")</f>
        <v/>
      </c>
      <c r="F256" s="56" t="n"/>
      <c r="G256" s="1" t="n"/>
      <c r="I256" s="1" t="inlineStr">
        <is>
          <t>Missing Truck</t>
        </is>
      </c>
    </row>
    <row r="257" ht="15.75" customHeight="1" thickBot="1">
      <c r="A257" s="59" t="n"/>
      <c r="B257" s="59" t="n"/>
      <c r="C257" s="59" t="n"/>
      <c r="D257" s="59" t="n"/>
      <c r="E257" s="59" t="n"/>
      <c r="F257" s="59" t="n"/>
      <c r="G257" s="59" t="n"/>
      <c r="I257" s="59" t="n"/>
    </row>
    <row r="258">
      <c r="A258" s="1" t="inlineStr">
        <is>
          <t>2026-03-13_03-03-32</t>
        </is>
      </c>
      <c r="B258" s="1" t="inlineStr">
        <is>
          <t>1773371589305_1773371609204</t>
        </is>
      </c>
      <c r="C258" s="55" t="inlineStr">
        <is>
          <t>1773371598905 - 1773371603904</t>
        </is>
      </c>
      <c r="D258" s="64">
        <f>IMAGE("https://liskibruh.github.io/l4_data_sheets_table_images_mapper/l4_problematic_frames/media/image299.png")</f>
        <v/>
      </c>
      <c r="E258" s="64">
        <f>IMAGE("https://liskibruh.github.io/l4_data_sheets_table_images_mapper/l4_problematic_frames/media/image300.png")</f>
        <v/>
      </c>
      <c r="F258" s="56" t="n"/>
      <c r="G258" s="1" t="n"/>
      <c r="I258" s="1" t="inlineStr">
        <is>
          <t>Missing Trucks + Missing Car</t>
        </is>
      </c>
    </row>
    <row r="259" ht="15.75" customHeight="1" thickBot="1">
      <c r="A259" s="59" t="n"/>
      <c r="B259" s="59" t="n"/>
      <c r="C259" s="59" t="n"/>
      <c r="D259" s="59" t="n"/>
      <c r="E259" s="59" t="n"/>
      <c r="F259" s="59" t="n"/>
      <c r="G259" s="59" t="n"/>
      <c r="I259" s="59" t="n"/>
    </row>
    <row r="260" ht="29.25" customHeight="1" thickBot="1">
      <c r="A260" s="27" t="inlineStr">
        <is>
          <t>2026-03-13_03-03-32</t>
        </is>
      </c>
      <c r="B260" s="7" t="inlineStr">
        <is>
          <t>1773371589305_1773371609204</t>
        </is>
      </c>
      <c r="C260" s="16" t="inlineStr">
        <is>
          <t>1773371604005 - 1773371604604</t>
        </is>
      </c>
      <c r="D260" s="25">
        <f>IMAGE("https://liskibruh.github.io/l4_data_sheets_table_images_mapper/l4_problematic_frames/media/image301.png")</f>
        <v/>
      </c>
      <c r="E260" s="25">
        <f>IMAGE("https://liskibruh.github.io/l4_data_sheets_table_images_mapper/l4_problematic_frames/media/image302.png")</f>
        <v/>
      </c>
      <c r="F260" s="42" t="n"/>
      <c r="G260" s="7" t="n"/>
      <c r="I260" s="7" t="inlineStr">
        <is>
          <t>False Positive Trucks</t>
        </is>
      </c>
    </row>
    <row r="261">
      <c r="A261" s="1" t="inlineStr">
        <is>
          <t>2026-03-13_03-03-32</t>
        </is>
      </c>
      <c r="B261" s="1" t="inlineStr">
        <is>
          <t>1773371589305_1773371609204</t>
        </is>
      </c>
      <c r="C261" s="55" t="inlineStr">
        <is>
          <t>1773371606605 - 1773371607604</t>
        </is>
      </c>
      <c r="D261" s="64">
        <f>IMAGE("https://liskibruh.github.io/l4_data_sheets_table_images_mapper/l4_problematic_frames/media/image303.png")</f>
        <v/>
      </c>
      <c r="E261" s="64">
        <f>IMAGE("https://liskibruh.github.io/l4_data_sheets_table_images_mapper/l4_problematic_frames/media/image304.png")</f>
        <v/>
      </c>
      <c r="F261" s="56" t="n"/>
      <c r="G261" s="1" t="n"/>
      <c r="I261" s="1" t="inlineStr">
        <is>
          <t>Misoriented Direction of Trucks</t>
        </is>
      </c>
    </row>
    <row r="262" ht="15.75" customHeight="1" thickBot="1">
      <c r="A262" s="59" t="n"/>
      <c r="B262" s="59" t="n"/>
      <c r="C262" s="59" t="n"/>
      <c r="D262" s="59" t="n"/>
      <c r="E262" s="59" t="n"/>
      <c r="F262" s="59" t="n"/>
      <c r="G262" s="59" t="n"/>
      <c r="I262" s="59" t="n"/>
    </row>
    <row r="263">
      <c r="A263" s="1" t="inlineStr">
        <is>
          <t>2026-03-13_03-03-32</t>
        </is>
      </c>
      <c r="B263" s="1" t="inlineStr">
        <is>
          <t>1773371609404_1773371629305</t>
        </is>
      </c>
      <c r="C263" s="55" t="inlineStr">
        <is>
          <t>1773371614704 - 1773371615504</t>
        </is>
      </c>
      <c r="D263" s="64">
        <f>IMAGE("https://liskibruh.github.io/l4_data_sheets_table_images_mapper/l4_problematic_frames/media/image305.png")</f>
        <v/>
      </c>
      <c r="E263" s="64">
        <f>IMAGE("https://liskibruh.github.io/l4_data_sheets_table_images_mapper/l4_problematic_frames/media/image306.png")</f>
        <v/>
      </c>
      <c r="F263" s="56" t="n"/>
      <c r="G263" s="1" t="n"/>
      <c r="I263" s="1" t="inlineStr">
        <is>
          <t>Missing Truck</t>
        </is>
      </c>
    </row>
    <row r="264" ht="15.75" customHeight="1" thickBot="1">
      <c r="A264" s="59" t="n"/>
      <c r="B264" s="59" t="n"/>
      <c r="C264" s="59" t="n"/>
      <c r="D264" s="59" t="n"/>
      <c r="E264" s="59" t="n"/>
      <c r="F264" s="59" t="n"/>
      <c r="G264" s="59" t="n"/>
      <c r="I264" s="59" t="n"/>
    </row>
    <row r="265" ht="29.25" customHeight="1" thickBot="1">
      <c r="A265" s="27" t="inlineStr">
        <is>
          <t>2026-03-13_03-03-32</t>
        </is>
      </c>
      <c r="B265" s="7" t="inlineStr">
        <is>
          <t>1773371609404_1773371629305</t>
        </is>
      </c>
      <c r="C265" s="16" t="inlineStr">
        <is>
          <t>1773371616603, 1773371617103</t>
        </is>
      </c>
      <c r="D265" s="25">
        <f>IMAGE("https://liskibruh.github.io/l4_data_sheets_table_images_mapper/l4_problematic_frames/media/image307.png")</f>
        <v/>
      </c>
      <c r="E265" s="42" t="n"/>
      <c r="F265" s="42" t="n"/>
      <c r="G265" s="7" t="n"/>
      <c r="I265" s="7" t="inlineStr">
        <is>
          <t>Missing LiDAR Points</t>
        </is>
      </c>
    </row>
    <row r="266">
      <c r="A266" s="1" t="inlineStr">
        <is>
          <t>2026-03-13_03-03-32</t>
        </is>
      </c>
      <c r="B266" s="1" t="inlineStr">
        <is>
          <t>1773371609404_1773371629305</t>
        </is>
      </c>
      <c r="C266" s="55" t="n">
        <v>1773371617905</v>
      </c>
      <c r="D266" s="64">
        <f>IMAGE("https://liskibruh.github.io/l4_data_sheets_table_images_mapper/l4_problematic_frames/media/image308.png")</f>
        <v/>
      </c>
      <c r="E266" s="64">
        <f>IMAGE("https://liskibruh.github.io/l4_data_sheets_table_images_mapper/l4_problematic_frames/media/image309.png")</f>
        <v/>
      </c>
      <c r="F266" s="56" t="n"/>
      <c r="G266" s="1" t="n"/>
      <c r="I266" s="1" t="inlineStr">
        <is>
          <t>Missing Car</t>
        </is>
      </c>
    </row>
    <row r="267" ht="15.75" customHeight="1" thickBot="1">
      <c r="A267" s="59" t="n"/>
      <c r="B267" s="59" t="n"/>
      <c r="C267" s="59" t="n"/>
      <c r="D267" s="59" t="n"/>
      <c r="E267" s="59" t="n"/>
      <c r="F267" s="59" t="n"/>
      <c r="G267" s="59" t="n"/>
      <c r="I267" s="59" t="n"/>
    </row>
    <row r="268" ht="43.5" customHeight="1" thickBot="1">
      <c r="A268" s="27" t="inlineStr">
        <is>
          <t>2026-03-13_03-03-32</t>
        </is>
      </c>
      <c r="B268" s="7" t="inlineStr">
        <is>
          <t>1773371609404_1773371629305</t>
        </is>
      </c>
      <c r="C268" s="16" t="inlineStr">
        <is>
          <t xml:space="preserve">1773371618603, 1773371619303, 1773371622100, 1773371625803, 1773371626203, 1773371626503 </t>
        </is>
      </c>
      <c r="D268" s="25">
        <f>IMAGE("https://liskibruh.github.io/l4_data_sheets_table_images_mapper/l4_problematic_frames/media/image310.png")</f>
        <v/>
      </c>
      <c r="E268" s="42" t="n"/>
      <c r="F268" s="42" t="n"/>
      <c r="G268" s="7" t="n"/>
      <c r="I268" s="7" t="inlineStr">
        <is>
          <t>Out of Sequence Frames</t>
        </is>
      </c>
    </row>
    <row r="269" ht="29.25" customHeight="1" thickBot="1">
      <c r="A269" s="27" t="inlineStr">
        <is>
          <t>2026-03-13_03-03-32</t>
        </is>
      </c>
      <c r="B269" s="7" t="inlineStr">
        <is>
          <t>1773371629405_1773371649404</t>
        </is>
      </c>
      <c r="C269" s="16" t="n">
        <v>1773371643303</v>
      </c>
      <c r="D269" s="25">
        <f>IMAGE("https://liskibruh.github.io/l4_data_sheets_table_images_mapper/l4_problematic_frames/media/image311.png")</f>
        <v/>
      </c>
      <c r="E269" s="25">
        <f>IMAGE("https://liskibruh.github.io/l4_data_sheets_table_images_mapper/l4_problematic_frames/media/image312.png")</f>
        <v/>
      </c>
      <c r="F269" s="42" t="n"/>
      <c r="G269" s="7" t="n"/>
      <c r="I269" s="7" t="inlineStr">
        <is>
          <t>Missing Static Object</t>
        </is>
      </c>
    </row>
    <row r="270" ht="29.25" customHeight="1" thickBot="1">
      <c r="A270" s="27" t="inlineStr">
        <is>
          <t>2026-03-13_03-03-32</t>
        </is>
      </c>
      <c r="B270" s="7" t="inlineStr">
        <is>
          <t>1773371649503_1773371669405</t>
        </is>
      </c>
      <c r="C270" s="16" t="inlineStr">
        <is>
          <t>1773371651105 - 1773371651904</t>
        </is>
      </c>
      <c r="D270" s="25">
        <f>IMAGE("https://liskibruh.github.io/l4_data_sheets_table_images_mapper/l4_problematic_frames/media/image313.png")</f>
        <v/>
      </c>
      <c r="E270" s="25">
        <f>IMAGE("https://liskibruh.github.io/l4_data_sheets_table_images_mapper/l4_problematic_frames/media/image314.png")</f>
        <v/>
      </c>
      <c r="F270" s="42" t="n"/>
      <c r="G270" s="7" t="n"/>
      <c r="I270" s="7" t="inlineStr">
        <is>
          <t>False Positive Static Objects</t>
        </is>
      </c>
    </row>
    <row r="271">
      <c r="A271" s="1" t="inlineStr">
        <is>
          <t>2026-03-13_03-03-32</t>
        </is>
      </c>
      <c r="B271" s="1" t="inlineStr">
        <is>
          <t>1773371649503_1773371669405</t>
        </is>
      </c>
      <c r="C271" s="55" t="n">
        <v>1773371653803</v>
      </c>
      <c r="D271" s="64">
        <f>IMAGE("https://liskibruh.github.io/l4_data_sheets_table_images_mapper/l4_problematic_frames/media/image315.png")</f>
        <v/>
      </c>
      <c r="E271" s="56" t="n"/>
      <c r="F271" s="56" t="n"/>
      <c r="G271" s="1" t="n"/>
      <c r="I271" s="1" t="inlineStr">
        <is>
          <t>Out of Sequence Frame</t>
        </is>
      </c>
    </row>
    <row r="272" ht="15.75" customHeight="1" thickBot="1">
      <c r="A272" s="59" t="n"/>
      <c r="B272" s="59" t="n"/>
      <c r="C272" s="59" t="n"/>
      <c r="D272" s="59" t="n"/>
      <c r="E272" s="59" t="n"/>
      <c r="F272" s="59" t="n"/>
      <c r="G272" s="59" t="n"/>
      <c r="I272" s="59" t="n"/>
    </row>
  </sheetData>
  <mergeCells count="561">
    <mergeCell ref="F127:F128"/>
    <mergeCell ref="B98:B104"/>
    <mergeCell ref="B263:B264"/>
    <mergeCell ref="B152:B153"/>
    <mergeCell ref="D66:F66"/>
    <mergeCell ref="D53:F53"/>
    <mergeCell ref="D47:F47"/>
    <mergeCell ref="B229:B230"/>
    <mergeCell ref="D254:D255"/>
    <mergeCell ref="D229:D230"/>
    <mergeCell ref="G121:G122"/>
    <mergeCell ref="I121:I122"/>
    <mergeCell ref="B258:B259"/>
    <mergeCell ref="G221:G222"/>
    <mergeCell ref="F249:F250"/>
    <mergeCell ref="F94:F97"/>
    <mergeCell ref="I187:I188"/>
    <mergeCell ref="E154:E155"/>
    <mergeCell ref="A190:A191"/>
    <mergeCell ref="A98:A104"/>
    <mergeCell ref="C190:C191"/>
    <mergeCell ref="G246:G247"/>
    <mergeCell ref="C254:C255"/>
    <mergeCell ref="E254:E255"/>
    <mergeCell ref="B209:B210"/>
    <mergeCell ref="B159:B160"/>
    <mergeCell ref="A256:A257"/>
    <mergeCell ref="F252:F253"/>
    <mergeCell ref="C256:C257"/>
    <mergeCell ref="G136:G137"/>
    <mergeCell ref="G70:G71"/>
    <mergeCell ref="I136:I137"/>
    <mergeCell ref="I70:I71"/>
    <mergeCell ref="D41:F41"/>
    <mergeCell ref="A70:A71"/>
    <mergeCell ref="D171:D173"/>
    <mergeCell ref="D1:H1"/>
    <mergeCell ref="D217:D218"/>
    <mergeCell ref="B11:B12"/>
    <mergeCell ref="B148:B149"/>
    <mergeCell ref="F217:F218"/>
    <mergeCell ref="E249:E250"/>
    <mergeCell ref="G249:G250"/>
    <mergeCell ref="I134:I135"/>
    <mergeCell ref="D43:F43"/>
    <mergeCell ref="D154:D155"/>
    <mergeCell ref="D141:D142"/>
    <mergeCell ref="F141:F142"/>
    <mergeCell ref="D206:D207"/>
    <mergeCell ref="F110:F111"/>
    <mergeCell ref="B143:B144"/>
    <mergeCell ref="D143:D144"/>
    <mergeCell ref="A76:A77"/>
    <mergeCell ref="D55:F55"/>
    <mergeCell ref="F199:F200"/>
    <mergeCell ref="I219:I220"/>
    <mergeCell ref="D5:F5"/>
    <mergeCell ref="G154:G155"/>
    <mergeCell ref="G129:G130"/>
    <mergeCell ref="B108:B109"/>
    <mergeCell ref="E91:E92"/>
    <mergeCell ref="E196:E197"/>
    <mergeCell ref="G91:G92"/>
    <mergeCell ref="B266:B267"/>
    <mergeCell ref="D232:D233"/>
    <mergeCell ref="E81:E82"/>
    <mergeCell ref="D159:D160"/>
    <mergeCell ref="D21:F21"/>
    <mergeCell ref="A229:A230"/>
    <mergeCell ref="C229:C230"/>
    <mergeCell ref="D136:D137"/>
    <mergeCell ref="D161:D163"/>
    <mergeCell ref="F154:F155"/>
    <mergeCell ref="F161:F163"/>
    <mergeCell ref="B121:B122"/>
    <mergeCell ref="F129:F130"/>
    <mergeCell ref="I190:I191"/>
    <mergeCell ref="D18:F18"/>
    <mergeCell ref="I221:I222"/>
    <mergeCell ref="G152:G153"/>
    <mergeCell ref="I152:I153"/>
    <mergeCell ref="B83:B84"/>
    <mergeCell ref="D156:D157"/>
    <mergeCell ref="F156:F157"/>
    <mergeCell ref="D83:D84"/>
    <mergeCell ref="D227:D228"/>
    <mergeCell ref="B254:B255"/>
    <mergeCell ref="A209:A210"/>
    <mergeCell ref="C209:C210"/>
    <mergeCell ref="B164:B165"/>
    <mergeCell ref="A159:A160"/>
    <mergeCell ref="D164:D165"/>
    <mergeCell ref="G81:G82"/>
    <mergeCell ref="G252:G253"/>
    <mergeCell ref="B256:B257"/>
    <mergeCell ref="I252:I253"/>
    <mergeCell ref="I81:I82"/>
    <mergeCell ref="D85:D86"/>
    <mergeCell ref="D256:D257"/>
    <mergeCell ref="C217:C218"/>
    <mergeCell ref="E112:E113"/>
    <mergeCell ref="A148:A149"/>
    <mergeCell ref="E217:E218"/>
    <mergeCell ref="F271:F272"/>
    <mergeCell ref="D6:F6"/>
    <mergeCell ref="I76:I77"/>
    <mergeCell ref="F202:F203"/>
    <mergeCell ref="E141:E142"/>
    <mergeCell ref="C206:C207"/>
    <mergeCell ref="E206:E207"/>
    <mergeCell ref="C156:C157"/>
    <mergeCell ref="E156:E157"/>
    <mergeCell ref="E143:E144"/>
    <mergeCell ref="G199:G200"/>
    <mergeCell ref="A108:A109"/>
    <mergeCell ref="D91:D92"/>
    <mergeCell ref="I236:I237"/>
    <mergeCell ref="A239:A240"/>
    <mergeCell ref="I263:I264"/>
    <mergeCell ref="G263:G264"/>
    <mergeCell ref="B177:B178"/>
    <mergeCell ref="D24:F24"/>
    <mergeCell ref="I229:I230"/>
    <mergeCell ref="C67:C68"/>
    <mergeCell ref="C232:C233"/>
    <mergeCell ref="D152:D153"/>
    <mergeCell ref="A72:A73"/>
    <mergeCell ref="C72:C73"/>
    <mergeCell ref="D26:F26"/>
    <mergeCell ref="B206:B207"/>
    <mergeCell ref="E125:E126"/>
    <mergeCell ref="D19:F19"/>
    <mergeCell ref="E136:E137"/>
    <mergeCell ref="D65:F65"/>
    <mergeCell ref="E127:E128"/>
    <mergeCell ref="E161:E163"/>
    <mergeCell ref="E129:E130"/>
    <mergeCell ref="F221:F222"/>
    <mergeCell ref="H50:H51"/>
    <mergeCell ref="I16:I17"/>
    <mergeCell ref="G258:G259"/>
    <mergeCell ref="I258:I259"/>
    <mergeCell ref="I209:I210"/>
    <mergeCell ref="A16:A17"/>
    <mergeCell ref="D52:F52"/>
    <mergeCell ref="C16:C17"/>
    <mergeCell ref="I159:I160"/>
    <mergeCell ref="A227:A228"/>
    <mergeCell ref="D150:D151"/>
    <mergeCell ref="D50:F51"/>
    <mergeCell ref="F150:F151"/>
    <mergeCell ref="C227:C228"/>
    <mergeCell ref="D37:F37"/>
    <mergeCell ref="E94:E97"/>
    <mergeCell ref="A164:A165"/>
    <mergeCell ref="D9:F9"/>
    <mergeCell ref="A91:A92"/>
    <mergeCell ref="F81:F82"/>
    <mergeCell ref="A85:A86"/>
    <mergeCell ref="B246:B247"/>
    <mergeCell ref="D14:F14"/>
    <mergeCell ref="B112:B113"/>
    <mergeCell ref="D112:D113"/>
    <mergeCell ref="A116:A117"/>
    <mergeCell ref="E271:E272"/>
    <mergeCell ref="D177:D178"/>
    <mergeCell ref="G271:G272"/>
    <mergeCell ref="G50:G51"/>
    <mergeCell ref="B114:B115"/>
    <mergeCell ref="I50:I51"/>
    <mergeCell ref="D114:D115"/>
    <mergeCell ref="D241:D242"/>
    <mergeCell ref="G171:G173"/>
    <mergeCell ref="F241:F242"/>
    <mergeCell ref="I171:I173"/>
    <mergeCell ref="B227:B228"/>
    <mergeCell ref="I108:I109"/>
    <mergeCell ref="D27:F27"/>
    <mergeCell ref="A246:A247"/>
    <mergeCell ref="F236:F237"/>
    <mergeCell ref="I85:I86"/>
    <mergeCell ref="I72:I73"/>
    <mergeCell ref="C112:C113"/>
    <mergeCell ref="A177:A178"/>
    <mergeCell ref="H2:H3"/>
    <mergeCell ref="B67:B68"/>
    <mergeCell ref="E177:E178"/>
    <mergeCell ref="B132:B133"/>
    <mergeCell ref="B196:B197"/>
    <mergeCell ref="D125:D126"/>
    <mergeCell ref="D196:D197"/>
    <mergeCell ref="F125:F126"/>
    <mergeCell ref="B127:B128"/>
    <mergeCell ref="I148:I149"/>
    <mergeCell ref="D127:D128"/>
    <mergeCell ref="F152:F153"/>
    <mergeCell ref="G261:G262"/>
    <mergeCell ref="I261:I262"/>
    <mergeCell ref="A261:A262"/>
    <mergeCell ref="B202:B203"/>
    <mergeCell ref="D46:F46"/>
    <mergeCell ref="E121:E122"/>
    <mergeCell ref="D40:F40"/>
    <mergeCell ref="C83:C84"/>
    <mergeCell ref="E83:E84"/>
    <mergeCell ref="B16:B17"/>
    <mergeCell ref="I256:I257"/>
    <mergeCell ref="C221:C222"/>
    <mergeCell ref="E150:E151"/>
    <mergeCell ref="B94:B97"/>
    <mergeCell ref="D249:D250"/>
    <mergeCell ref="G116:G117"/>
    <mergeCell ref="I116:I117"/>
    <mergeCell ref="E152:E153"/>
    <mergeCell ref="C246:C247"/>
    <mergeCell ref="E118:E119"/>
    <mergeCell ref="G118:G119"/>
    <mergeCell ref="I118:I119"/>
    <mergeCell ref="A254:A255"/>
    <mergeCell ref="D181:D182"/>
    <mergeCell ref="D33:F33"/>
    <mergeCell ref="F181:F182"/>
    <mergeCell ref="C241:C242"/>
    <mergeCell ref="E114:E115"/>
    <mergeCell ref="F171:F173"/>
    <mergeCell ref="D2:F3"/>
    <mergeCell ref="E70:E71"/>
    <mergeCell ref="E241:E242"/>
    <mergeCell ref="H16:H17"/>
    <mergeCell ref="A249:A250"/>
    <mergeCell ref="D35:F35"/>
    <mergeCell ref="B217:B218"/>
    <mergeCell ref="F239:F240"/>
    <mergeCell ref="C249:C250"/>
    <mergeCell ref="D59:F59"/>
    <mergeCell ref="E134:E135"/>
    <mergeCell ref="G134:G135"/>
    <mergeCell ref="D34:F34"/>
    <mergeCell ref="H67:H68"/>
    <mergeCell ref="B141:B142"/>
    <mergeCell ref="G236:G237"/>
    <mergeCell ref="D36:F36"/>
    <mergeCell ref="B110:B111"/>
    <mergeCell ref="B85:B86"/>
    <mergeCell ref="D110:D111"/>
    <mergeCell ref="B72:B73"/>
    <mergeCell ref="G2:G3"/>
    <mergeCell ref="A67:A68"/>
    <mergeCell ref="D94:D97"/>
    <mergeCell ref="I2:I3"/>
    <mergeCell ref="A138:A139"/>
    <mergeCell ref="B199:B200"/>
    <mergeCell ref="A132:A133"/>
    <mergeCell ref="D199:D200"/>
    <mergeCell ref="E219:E220"/>
    <mergeCell ref="I164:I165"/>
    <mergeCell ref="B136:B137"/>
    <mergeCell ref="D61:F61"/>
    <mergeCell ref="B70:B71"/>
    <mergeCell ref="I91:I92"/>
    <mergeCell ref="D70:D71"/>
    <mergeCell ref="D48:F48"/>
    <mergeCell ref="F70:F71"/>
    <mergeCell ref="A196:A197"/>
    <mergeCell ref="C196:C197"/>
    <mergeCell ref="F232:F233"/>
    <mergeCell ref="D62:F62"/>
    <mergeCell ref="D56:F56"/>
    <mergeCell ref="C110:C111"/>
    <mergeCell ref="D64:F64"/>
    <mergeCell ref="E110:E111"/>
    <mergeCell ref="D121:D122"/>
    <mergeCell ref="F121:F122"/>
    <mergeCell ref="B154:B155"/>
    <mergeCell ref="B161:B163"/>
    <mergeCell ref="B129:B130"/>
    <mergeCell ref="D129:D130"/>
    <mergeCell ref="B221:B222"/>
    <mergeCell ref="I246:I247"/>
    <mergeCell ref="D187:D188"/>
    <mergeCell ref="F116:F117"/>
    <mergeCell ref="F187:F188"/>
    <mergeCell ref="G219:G220"/>
    <mergeCell ref="D49:F49"/>
    <mergeCell ref="F118:F119"/>
    <mergeCell ref="B156:B157"/>
    <mergeCell ref="D67:F68"/>
    <mergeCell ref="A252:A253"/>
    <mergeCell ref="C252:C253"/>
    <mergeCell ref="E181:E182"/>
    <mergeCell ref="H11:H12"/>
    <mergeCell ref="E252:E253"/>
    <mergeCell ref="G181:G182"/>
    <mergeCell ref="D263:D264"/>
    <mergeCell ref="F263:F264"/>
    <mergeCell ref="A171:A173"/>
    <mergeCell ref="A217:A218"/>
    <mergeCell ref="B249:B250"/>
    <mergeCell ref="G239:G240"/>
    <mergeCell ref="D134:D135"/>
    <mergeCell ref="I239:I240"/>
    <mergeCell ref="F134:F135"/>
    <mergeCell ref="D39:F39"/>
    <mergeCell ref="E76:E77"/>
    <mergeCell ref="I67:I68"/>
    <mergeCell ref="G76:G77"/>
    <mergeCell ref="E105:E106"/>
    <mergeCell ref="A141:A142"/>
    <mergeCell ref="D202:D203"/>
    <mergeCell ref="I132:I133"/>
    <mergeCell ref="A206:A207"/>
    <mergeCell ref="F258:F259"/>
    <mergeCell ref="G143:G144"/>
    <mergeCell ref="A156:A157"/>
    <mergeCell ref="A143:A144"/>
    <mergeCell ref="I196:I197"/>
    <mergeCell ref="A199:A200"/>
    <mergeCell ref="F266:F267"/>
    <mergeCell ref="C199:C200"/>
    <mergeCell ref="D16:F17"/>
    <mergeCell ref="E199:E200"/>
    <mergeCell ref="G150:G151"/>
    <mergeCell ref="C263:C264"/>
    <mergeCell ref="E98:E104"/>
    <mergeCell ref="B91:B92"/>
    <mergeCell ref="E263:E264"/>
    <mergeCell ref="F112:F113"/>
    <mergeCell ref="D57:F57"/>
    <mergeCell ref="G232:G233"/>
    <mergeCell ref="I232:I233"/>
    <mergeCell ref="A232:A233"/>
    <mergeCell ref="I227:I228"/>
    <mergeCell ref="A154:A155"/>
    <mergeCell ref="A161:A163"/>
    <mergeCell ref="C161:C163"/>
    <mergeCell ref="B239:B240"/>
    <mergeCell ref="A129:A130"/>
    <mergeCell ref="D98:D104"/>
    <mergeCell ref="F190:F191"/>
    <mergeCell ref="D11:F12"/>
    <mergeCell ref="F254:F255"/>
    <mergeCell ref="D221:D222"/>
    <mergeCell ref="E187:E188"/>
    <mergeCell ref="G138:G139"/>
    <mergeCell ref="D60:F60"/>
    <mergeCell ref="I138:I139"/>
    <mergeCell ref="E159:E160"/>
    <mergeCell ref="B150:B151"/>
    <mergeCell ref="G217:G218"/>
    <mergeCell ref="I217:I218"/>
    <mergeCell ref="G11:G12"/>
    <mergeCell ref="B81:B82"/>
    <mergeCell ref="D81:D82"/>
    <mergeCell ref="I11:I12"/>
    <mergeCell ref="B252:B253"/>
    <mergeCell ref="D252:D253"/>
    <mergeCell ref="A11:A12"/>
    <mergeCell ref="G141:G142"/>
    <mergeCell ref="A271:A272"/>
    <mergeCell ref="I206:I207"/>
    <mergeCell ref="C271:C272"/>
    <mergeCell ref="A50:A51"/>
    <mergeCell ref="I181:I182"/>
    <mergeCell ref="D7:F7"/>
    <mergeCell ref="C50:C51"/>
    <mergeCell ref="A221:A222"/>
    <mergeCell ref="D76:D77"/>
    <mergeCell ref="B105:B106"/>
    <mergeCell ref="F138:F139"/>
    <mergeCell ref="F76:F77"/>
    <mergeCell ref="D105:D106"/>
    <mergeCell ref="C202:C203"/>
    <mergeCell ref="E202:E203"/>
    <mergeCell ref="D58:F58"/>
    <mergeCell ref="E108:E109"/>
    <mergeCell ref="G108:G109"/>
    <mergeCell ref="E266:E267"/>
    <mergeCell ref="D8:F8"/>
    <mergeCell ref="G266:G267"/>
    <mergeCell ref="D236:D237"/>
    <mergeCell ref="F98:F104"/>
    <mergeCell ref="C91:C92"/>
    <mergeCell ref="E72:E73"/>
    <mergeCell ref="G72:G73"/>
    <mergeCell ref="A112:A113"/>
    <mergeCell ref="D20:F20"/>
    <mergeCell ref="F229:F230"/>
    <mergeCell ref="D22:F22"/>
    <mergeCell ref="G159:G160"/>
    <mergeCell ref="F256:F257"/>
    <mergeCell ref="B125:B126"/>
    <mergeCell ref="F206:F207"/>
    <mergeCell ref="I129:I130"/>
    <mergeCell ref="D13:F13"/>
    <mergeCell ref="C261:C262"/>
    <mergeCell ref="I154:I155"/>
    <mergeCell ref="E190:E191"/>
    <mergeCell ref="E261:E262"/>
    <mergeCell ref="G190:G191"/>
    <mergeCell ref="I141:I142"/>
    <mergeCell ref="G156:G157"/>
    <mergeCell ref="I156:I157"/>
    <mergeCell ref="G83:G84"/>
    <mergeCell ref="D4:F4"/>
    <mergeCell ref="G254:G255"/>
    <mergeCell ref="I254:I255"/>
    <mergeCell ref="I83:I84"/>
    <mergeCell ref="I143:I144"/>
    <mergeCell ref="D209:D210"/>
    <mergeCell ref="F209:F210"/>
    <mergeCell ref="D15:F15"/>
    <mergeCell ref="F159:F160"/>
    <mergeCell ref="F219:F220"/>
    <mergeCell ref="E256:E257"/>
    <mergeCell ref="G256:G257"/>
    <mergeCell ref="A150:A151"/>
    <mergeCell ref="C150:C151"/>
    <mergeCell ref="D148:D149"/>
    <mergeCell ref="I249:I250"/>
    <mergeCell ref="A81:A82"/>
    <mergeCell ref="E116:E117"/>
    <mergeCell ref="F148:F149"/>
    <mergeCell ref="A152:A153"/>
    <mergeCell ref="D10:F10"/>
    <mergeCell ref="B271:B272"/>
    <mergeCell ref="D271:D272"/>
    <mergeCell ref="B50:B51"/>
    <mergeCell ref="F143:F144"/>
    <mergeCell ref="E209:E210"/>
    <mergeCell ref="A114:A115"/>
    <mergeCell ref="A241:A242"/>
    <mergeCell ref="D108:D109"/>
    <mergeCell ref="F108:F109"/>
    <mergeCell ref="D239:D240"/>
    <mergeCell ref="A105:A106"/>
    <mergeCell ref="D266:D267"/>
    <mergeCell ref="E221:E222"/>
    <mergeCell ref="D28:F28"/>
    <mergeCell ref="A236:A237"/>
    <mergeCell ref="C236:C237"/>
    <mergeCell ref="E236:E237"/>
    <mergeCell ref="G187:G188"/>
    <mergeCell ref="D72:D73"/>
    <mergeCell ref="F72:F73"/>
    <mergeCell ref="A2:A3"/>
    <mergeCell ref="C2:C3"/>
    <mergeCell ref="D30:F30"/>
    <mergeCell ref="E229:E230"/>
    <mergeCell ref="A219:A220"/>
    <mergeCell ref="G229:G230"/>
    <mergeCell ref="D29:F29"/>
    <mergeCell ref="F136:F137"/>
    <mergeCell ref="D23:F23"/>
    <mergeCell ref="B241:B242"/>
    <mergeCell ref="A125:A126"/>
    <mergeCell ref="A127:A128"/>
    <mergeCell ref="B261:B262"/>
    <mergeCell ref="B236:B237"/>
    <mergeCell ref="D261:D262"/>
    <mergeCell ref="A110:A111"/>
    <mergeCell ref="A94:A97"/>
    <mergeCell ref="F227:F228"/>
    <mergeCell ref="I150:I151"/>
    <mergeCell ref="F83:F84"/>
    <mergeCell ref="G209:G210"/>
    <mergeCell ref="F164:F165"/>
    <mergeCell ref="F85:F86"/>
    <mergeCell ref="G112:G113"/>
    <mergeCell ref="B116:B117"/>
    <mergeCell ref="B187:B188"/>
    <mergeCell ref="I112:I113"/>
    <mergeCell ref="D116:D117"/>
    <mergeCell ref="E148:E149"/>
    <mergeCell ref="G148:G149"/>
    <mergeCell ref="G177:G178"/>
    <mergeCell ref="I177:I178"/>
    <mergeCell ref="D25:F25"/>
    <mergeCell ref="G114:G115"/>
    <mergeCell ref="B118:B119"/>
    <mergeCell ref="I114:I115"/>
    <mergeCell ref="D118:D119"/>
    <mergeCell ref="I241:I242"/>
    <mergeCell ref="G206:G207"/>
    <mergeCell ref="D54:F54"/>
    <mergeCell ref="A121:A122"/>
    <mergeCell ref="A181:A182"/>
    <mergeCell ref="C181:C182"/>
    <mergeCell ref="E171:E173"/>
    <mergeCell ref="D31:F31"/>
    <mergeCell ref="C239:C240"/>
    <mergeCell ref="E239:E240"/>
    <mergeCell ref="B134:B135"/>
    <mergeCell ref="F177:F178"/>
    <mergeCell ref="G67:G68"/>
    <mergeCell ref="E132:E133"/>
    <mergeCell ref="G132:G133"/>
    <mergeCell ref="D258:D259"/>
    <mergeCell ref="D32:F32"/>
    <mergeCell ref="B2:B3"/>
    <mergeCell ref="G125:G126"/>
    <mergeCell ref="I125:I126"/>
    <mergeCell ref="F91:F92"/>
    <mergeCell ref="G127:G128"/>
    <mergeCell ref="A136:A137"/>
    <mergeCell ref="I127:I128"/>
    <mergeCell ref="A263:A264"/>
    <mergeCell ref="A134:A135"/>
    <mergeCell ref="D42:F42"/>
    <mergeCell ref="E232:E233"/>
    <mergeCell ref="C219:C220"/>
    <mergeCell ref="F105:F106"/>
    <mergeCell ref="A258:A259"/>
    <mergeCell ref="D44:F44"/>
    <mergeCell ref="C258:C259"/>
    <mergeCell ref="E258:E259"/>
    <mergeCell ref="G16:G17"/>
    <mergeCell ref="E227:E228"/>
    <mergeCell ref="G227:G228"/>
    <mergeCell ref="G94:G97"/>
    <mergeCell ref="A83:A84"/>
    <mergeCell ref="E164:E165"/>
    <mergeCell ref="D45:F45"/>
    <mergeCell ref="G164:G165"/>
    <mergeCell ref="D190:D191"/>
    <mergeCell ref="D246:D247"/>
    <mergeCell ref="F246:F247"/>
    <mergeCell ref="B232:B233"/>
    <mergeCell ref="A187:A188"/>
    <mergeCell ref="B219:B220"/>
    <mergeCell ref="C187:C188"/>
    <mergeCell ref="I271:I272"/>
    <mergeCell ref="D219:D220"/>
    <mergeCell ref="E138:E139"/>
    <mergeCell ref="F114:F115"/>
    <mergeCell ref="A118:A119"/>
    <mergeCell ref="G196:G197"/>
    <mergeCell ref="C11:C12"/>
    <mergeCell ref="B181:B182"/>
    <mergeCell ref="D38:F38"/>
    <mergeCell ref="E246:E247"/>
    <mergeCell ref="E85:E86"/>
    <mergeCell ref="F261:F262"/>
    <mergeCell ref="G110:G111"/>
    <mergeCell ref="G85:G86"/>
    <mergeCell ref="I110:I111"/>
    <mergeCell ref="B138:B139"/>
    <mergeCell ref="D63:F63"/>
    <mergeCell ref="I94:I97"/>
    <mergeCell ref="B76:B77"/>
    <mergeCell ref="D138:D139"/>
    <mergeCell ref="I202:I203"/>
    <mergeCell ref="D132:D133"/>
    <mergeCell ref="G202:G203"/>
    <mergeCell ref="I199:I200"/>
    <mergeCell ref="F132:F133"/>
    <mergeCell ref="A202:A203"/>
    <mergeCell ref="G241:G242"/>
    <mergeCell ref="I266:I267"/>
    <mergeCell ref="A266:A267"/>
    <mergeCell ref="F196:F197"/>
    <mergeCell ref="C266:C2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zoomScale="160" zoomScaleNormal="160" workbookViewId="0">
      <selection activeCell="C3" sqref="C3"/>
    </sheetView>
  </sheetViews>
  <sheetFormatPr baseColWidth="8" defaultRowHeight="15"/>
  <cols>
    <col width="21.85546875" bestFit="1" customWidth="1" min="1" max="1"/>
    <col width="33.7109375" bestFit="1" customWidth="1" min="2" max="2"/>
    <col width="16.28515625" bestFit="1" customWidth="1" style="20" min="3" max="3"/>
    <col width="34.140625" bestFit="1" customWidth="1" min="7" max="7"/>
  </cols>
  <sheetData>
    <row r="1" ht="15.75" customHeight="1" thickBot="1">
      <c r="A1" s="9" t="inlineStr">
        <is>
          <t>Sequence</t>
        </is>
      </c>
      <c r="B1" s="52" t="inlineStr">
        <is>
          <t>Clip</t>
        </is>
      </c>
      <c r="C1" s="22" t="inlineStr">
        <is>
          <t>Frame ID</t>
        </is>
      </c>
      <c r="D1" s="9" t="inlineStr">
        <is>
          <t>Visualizations</t>
        </is>
      </c>
      <c r="E1" s="53" t="n"/>
      <c r="F1" s="54" t="n"/>
      <c r="G1" s="21" t="inlineStr">
        <is>
          <t>Problem</t>
        </is>
      </c>
    </row>
    <row r="2" ht="39.75" customHeight="1">
      <c r="A2" s="1" t="inlineStr">
        <is>
          <t>2026-03-13_03-03-32</t>
        </is>
      </c>
      <c r="B2" s="1" t="inlineStr">
        <is>
          <t>1773372371604_1773372391505</t>
        </is>
      </c>
      <c r="C2" s="18" t="n">
        <v>1773372387004</v>
      </c>
      <c r="D2" s="56">
        <f>IMAGE("https://liskibruh.github.io/l4_data_sheets_table_images_mapper/l4_problematic_frames/media/image316.png")</f>
        <v/>
      </c>
      <c r="E2" s="56">
        <f>IMAGE("https://liskibruh.github.io/l4_data_sheets_table_images_mapper/l4_problematic_frames/media/image317.png")</f>
        <v/>
      </c>
      <c r="F2" s="56" t="n"/>
      <c r="G2" s="1" t="inlineStr">
        <is>
          <t>Miss annotation of static objects</t>
        </is>
      </c>
    </row>
    <row r="3" ht="15" customHeight="1">
      <c r="A3" s="63" t="n"/>
      <c r="B3" s="63" t="n"/>
      <c r="C3" s="18" t="n">
        <v>1773372387104</v>
      </c>
      <c r="D3" s="63" t="n"/>
      <c r="E3" s="63" t="n"/>
      <c r="F3" s="63" t="n"/>
      <c r="G3" s="63" t="n"/>
    </row>
    <row r="4" ht="16.5" customHeight="1" thickBot="1">
      <c r="A4" s="59" t="n"/>
      <c r="B4" s="59" t="n"/>
      <c r="C4" s="19" t="n"/>
      <c r="D4" s="59" t="n"/>
      <c r="E4" s="59" t="n"/>
      <c r="F4" s="59" t="n"/>
      <c r="G4" s="59" t="n"/>
    </row>
    <row r="5" ht="26.25" customHeight="1">
      <c r="A5" s="1" t="inlineStr">
        <is>
          <t>2026-03-13_03-03-32</t>
        </is>
      </c>
      <c r="B5" s="1" t="inlineStr">
        <is>
          <t>1773372391605_1773372411505</t>
        </is>
      </c>
      <c r="C5" s="18" t="n">
        <v>1773372395804</v>
      </c>
      <c r="D5" s="64">
        <f>IMAGE("https://liskibruh.github.io/l4_data_sheets_table_images_mapper/l4_problematic_frames/media/image318.png")</f>
        <v/>
      </c>
      <c r="E5" s="56">
        <f>IMAGE("https://liskibruh.github.io/l4_data_sheets_table_images_mapper/l4_problematic_frames/media/image319.png")</f>
        <v/>
      </c>
      <c r="F5" s="56">
        <f>IMAGE("https://liskibruh.github.io/l4_data_sheets_table_images_mapper/l4_problematic_frames/media/image320.png")</f>
        <v/>
      </c>
      <c r="G5" s="1" t="inlineStr">
        <is>
          <t>Miss annotation of vehicles</t>
        </is>
      </c>
    </row>
    <row r="6" ht="15" customHeight="1">
      <c r="A6" s="63" t="n"/>
      <c r="B6" s="63" t="n"/>
      <c r="C6" s="18" t="n">
        <v>1773372395904</v>
      </c>
      <c r="D6" s="63" t="n"/>
      <c r="E6" s="63" t="n"/>
      <c r="F6" s="63" t="n"/>
      <c r="G6" s="63" t="n"/>
    </row>
    <row r="7" ht="15.75" customHeight="1" thickBot="1">
      <c r="A7" s="59" t="n"/>
      <c r="B7" s="59" t="n"/>
      <c r="C7" s="16" t="n">
        <v>1773372396005</v>
      </c>
      <c r="D7" s="59" t="n"/>
      <c r="E7" s="59" t="n"/>
      <c r="F7" s="59" t="n"/>
      <c r="G7" s="59" t="n"/>
    </row>
    <row r="8" ht="55.5" customHeight="1">
      <c r="A8" s="1" t="inlineStr">
        <is>
          <t>2026-03-13_03-03-32</t>
        </is>
      </c>
      <c r="B8" s="1" t="inlineStr">
        <is>
          <t>1773372391605_1773372411505</t>
        </is>
      </c>
      <c r="C8" s="18" t="n">
        <v>1773372408604</v>
      </c>
      <c r="D8" s="64">
        <f>IMAGE("https://liskibruh.github.io/l4_data_sheets_table_images_mapper/l4_problematic_frames/media/image321.png")</f>
        <v/>
      </c>
      <c r="E8" s="64">
        <f>IMAGE("https://liskibruh.github.io/l4_data_sheets_table_images_mapper/l4_problematic_frames/media/image322.png")</f>
        <v/>
      </c>
      <c r="F8" s="56" t="n"/>
      <c r="G8" s="1" t="inlineStr">
        <is>
          <t>Miss annotation of static objects</t>
        </is>
      </c>
    </row>
    <row r="9" ht="15.75" customHeight="1" thickBot="1">
      <c r="A9" s="59" t="n"/>
      <c r="B9" s="59" t="n"/>
      <c r="C9" s="16" t="n">
        <v>1773372408804</v>
      </c>
      <c r="D9" s="59" t="n"/>
      <c r="E9" s="59" t="n"/>
      <c r="F9" s="59" t="n"/>
      <c r="G9" s="59" t="n"/>
    </row>
    <row r="10" ht="25.5" customHeight="1">
      <c r="A10" s="1" t="inlineStr">
        <is>
          <t>2026-03-13_03-03-32</t>
        </is>
      </c>
      <c r="B10" s="1" t="inlineStr">
        <is>
          <t>1773372411605_1773372431405</t>
        </is>
      </c>
      <c r="C10" s="18" t="n">
        <v>1773372412800</v>
      </c>
      <c r="D10" s="56">
        <f>IMAGE("https://liskibruh.github.io/l4_data_sheets_table_images_mapper/l4_problematic_frames/media/image323.png")</f>
        <v/>
      </c>
      <c r="E10" s="56">
        <f>IMAGE("https://liskibruh.github.io/l4_data_sheets_table_images_mapper/l4_problematic_frames/media/image324.png")</f>
        <v/>
      </c>
      <c r="F10" s="56" t="n"/>
      <c r="G10" s="1" t="inlineStr">
        <is>
          <t>Imcomplete point cloud</t>
        </is>
      </c>
    </row>
    <row r="11" ht="15" customHeight="1">
      <c r="A11" s="63" t="n"/>
      <c r="B11" s="63" t="n"/>
      <c r="C11" s="18" t="n">
        <v>1773372422600</v>
      </c>
      <c r="D11" s="63" t="n"/>
      <c r="E11" s="63" t="n"/>
      <c r="F11" s="63" t="n"/>
      <c r="G11" s="63" t="n"/>
    </row>
    <row r="12" ht="16.5" customHeight="1" thickBot="1">
      <c r="A12" s="59" t="n"/>
      <c r="B12" s="59" t="n"/>
      <c r="C12" s="19" t="n"/>
      <c r="D12" s="59" t="n"/>
      <c r="E12" s="59" t="n"/>
      <c r="F12" s="59" t="n"/>
      <c r="G12" s="59" t="n"/>
    </row>
    <row r="13">
      <c r="A13" s="1" t="inlineStr">
        <is>
          <t>2026-03-13_03-03-32</t>
        </is>
      </c>
      <c r="B13" s="1" t="inlineStr">
        <is>
          <t>1773372411605_1773372431405</t>
        </is>
      </c>
      <c r="C13" s="18" t="n">
        <v>1773372426204</v>
      </c>
      <c r="D13" s="64">
        <f>IMAGE("https://liskibruh.github.io/l4_data_sheets_table_images_mapper/l4_problematic_frames/media/image325.png")</f>
        <v/>
      </c>
      <c r="E13" s="64">
        <f>IMAGE("https://liskibruh.github.io/l4_data_sheets_table_images_mapper/l4_problematic_frames/media/image326.png")</f>
        <v/>
      </c>
      <c r="F13" s="56">
        <f>IMAGE("https://liskibruh.github.io/l4_data_sheets_table_images_mapper/l4_problematic_frames/media/image327.png")</f>
        <v/>
      </c>
      <c r="G13" s="3" t="inlineStr">
        <is>
          <t>Mis-classification?</t>
        </is>
      </c>
    </row>
    <row r="14">
      <c r="A14" s="63" t="n"/>
      <c r="B14" s="63" t="n"/>
      <c r="C14" s="18" t="n">
        <v>1773372426404</v>
      </c>
      <c r="D14" s="63" t="n"/>
      <c r="E14" s="63" t="n"/>
      <c r="F14" s="63" t="n"/>
      <c r="G14" s="3" t="inlineStr">
        <is>
          <t>Miss annotation of static objects</t>
        </is>
      </c>
    </row>
    <row r="15" ht="15" customHeight="1">
      <c r="A15" s="63" t="n"/>
      <c r="B15" s="63" t="n"/>
      <c r="C15" s="18" t="n">
        <v>1773372426504</v>
      </c>
      <c r="D15" s="63" t="n"/>
      <c r="E15" s="63" t="n"/>
      <c r="F15" s="63" t="n"/>
      <c r="G15" s="13" t="n"/>
    </row>
    <row r="16" ht="15" customHeight="1">
      <c r="A16" s="63" t="n"/>
      <c r="B16" s="63" t="n"/>
      <c r="C16" s="18" t="n">
        <v>1773372426604</v>
      </c>
      <c r="D16" s="63" t="n"/>
      <c r="E16" s="63" t="n"/>
      <c r="F16" s="63" t="n"/>
      <c r="G16" s="13" t="n"/>
    </row>
    <row r="17" ht="15" customHeight="1">
      <c r="A17" s="63" t="n"/>
      <c r="B17" s="63" t="n"/>
      <c r="C17" s="18" t="n">
        <v>1773372426705</v>
      </c>
      <c r="D17" s="63" t="n"/>
      <c r="E17" s="63" t="n"/>
      <c r="F17" s="63" t="n"/>
      <c r="G17" s="13" t="n"/>
    </row>
    <row r="18" ht="15" customHeight="1">
      <c r="A18" s="63" t="n"/>
      <c r="B18" s="63" t="n"/>
      <c r="C18" s="18" t="n">
        <v>1773372426805</v>
      </c>
      <c r="D18" s="63" t="n"/>
      <c r="E18" s="63" t="n"/>
      <c r="F18" s="63" t="n"/>
      <c r="G18" s="13" t="n"/>
    </row>
    <row r="19" ht="15" customHeight="1">
      <c r="A19" s="63" t="n"/>
      <c r="B19" s="63" t="n"/>
      <c r="C19" s="18" t="n">
        <v>1773372427004</v>
      </c>
      <c r="D19" s="63" t="n"/>
      <c r="E19" s="63" t="n"/>
      <c r="F19" s="63" t="n"/>
      <c r="G19" s="13" t="n"/>
    </row>
    <row r="20" ht="15.75" customHeight="1" thickBot="1">
      <c r="A20" s="59" t="n"/>
      <c r="B20" s="59" t="n"/>
      <c r="C20" s="16" t="n">
        <v>1773372431305</v>
      </c>
      <c r="D20" s="59" t="n"/>
      <c r="E20" s="59" t="n"/>
      <c r="F20" s="59" t="n"/>
      <c r="G20" s="14" t="n"/>
    </row>
    <row r="21" ht="41.25" customHeight="1">
      <c r="A21" s="1" t="inlineStr">
        <is>
          <t>2026-03-13_03-03-32</t>
        </is>
      </c>
      <c r="B21" s="1" t="inlineStr">
        <is>
          <t>1773372631605_1773372651404</t>
        </is>
      </c>
      <c r="C21" s="18" t="n">
        <v>1773372648205</v>
      </c>
      <c r="D21" s="64">
        <f>IMAGE("https://liskibruh.github.io/l4_data_sheets_table_images_mapper/l4_problematic_frames/media/image328.png")</f>
        <v/>
      </c>
      <c r="E21" s="64">
        <f>IMAGE("https://liskibruh.github.io/l4_data_sheets_table_images_mapper/l4_problematic_frames/media/image329.png")</f>
        <v/>
      </c>
      <c r="F21" s="56" t="n"/>
      <c r="G21" s="1" t="inlineStr">
        <is>
          <t>Miss annotation of vehicle</t>
        </is>
      </c>
    </row>
    <row r="22" ht="15.75" customHeight="1" thickBot="1">
      <c r="A22" s="59" t="n"/>
      <c r="B22" s="59" t="n"/>
      <c r="C22" s="16" t="n">
        <v>1773372648305</v>
      </c>
      <c r="D22" s="59" t="n"/>
      <c r="E22" s="59" t="n"/>
      <c r="F22" s="59" t="n"/>
      <c r="G22" s="59" t="n"/>
    </row>
    <row r="23" ht="15" customHeight="1">
      <c r="A23" s="1" t="inlineStr">
        <is>
          <t>2026-03-13_03-03-32</t>
        </is>
      </c>
      <c r="B23" s="1" t="inlineStr">
        <is>
          <t>1773372733005_1773372752804</t>
        </is>
      </c>
      <c r="C23" s="18" t="n">
        <v>1773372750905</v>
      </c>
      <c r="D23" s="56">
        <f>IMAGE("https://liskibruh.github.io/l4_data_sheets_table_images_mapper/l4_problematic_frames/media/image330.png")</f>
        <v/>
      </c>
      <c r="E23" s="56">
        <f>IMAGE("https://liskibruh.github.io/l4_data_sheets_table_images_mapper/l4_problematic_frames/media/image331.png")</f>
        <v/>
      </c>
      <c r="F23" s="56">
        <f>IMAGE("https://liskibruh.github.io/l4_data_sheets_table_images_mapper/l4_problematic_frames/media/image332.png")</f>
        <v/>
      </c>
      <c r="G23" s="1" t="inlineStr">
        <is>
          <t>Miss annotation of truck</t>
        </is>
      </c>
    </row>
    <row r="24" ht="15" customHeight="1">
      <c r="A24" s="63" t="n"/>
      <c r="B24" s="63" t="n"/>
      <c r="C24" s="18" t="n">
        <v>1773372751504</v>
      </c>
      <c r="D24" s="63" t="n"/>
      <c r="E24" s="63" t="n"/>
      <c r="F24" s="63" t="n"/>
      <c r="G24" s="63" t="n"/>
    </row>
    <row r="25" ht="15" customHeight="1">
      <c r="A25" s="63" t="n"/>
      <c r="B25" s="63" t="n"/>
      <c r="C25" s="18" t="n">
        <v>1773372751605</v>
      </c>
      <c r="D25" s="63" t="n"/>
      <c r="E25" s="63" t="n"/>
      <c r="F25" s="63" t="n"/>
      <c r="G25" s="63" t="n"/>
    </row>
    <row r="26" ht="15" customHeight="1">
      <c r="A26" s="63" t="n"/>
      <c r="B26" s="63" t="n"/>
      <c r="C26" s="18" t="n">
        <v>1773372751705</v>
      </c>
      <c r="D26" s="63" t="n"/>
      <c r="E26" s="63" t="n"/>
      <c r="F26" s="63" t="n"/>
      <c r="G26" s="63" t="n"/>
    </row>
    <row r="27" ht="15" customHeight="1">
      <c r="A27" s="63" t="n"/>
      <c r="B27" s="63" t="n"/>
      <c r="C27" s="18" t="n">
        <v>1773372751805</v>
      </c>
      <c r="D27" s="63" t="n"/>
      <c r="E27" s="63" t="n"/>
      <c r="F27" s="63" t="n"/>
      <c r="G27" s="63" t="n"/>
    </row>
    <row r="28" ht="15" customHeight="1">
      <c r="A28" s="63" t="n"/>
      <c r="B28" s="63" t="n"/>
      <c r="C28" s="18" t="n">
        <v>1773372751905</v>
      </c>
      <c r="D28" s="63" t="n"/>
      <c r="E28" s="63" t="n"/>
      <c r="F28" s="63" t="n"/>
      <c r="G28" s="63" t="n"/>
    </row>
    <row r="29" ht="15.75" customHeight="1" thickBot="1">
      <c r="A29" s="59" t="n"/>
      <c r="B29" s="59" t="n"/>
      <c r="C29" s="16" t="n">
        <v>1773372752804</v>
      </c>
      <c r="D29" s="59" t="n"/>
      <c r="E29" s="59" t="n"/>
      <c r="F29" s="59" t="n"/>
      <c r="G29" s="59" t="n"/>
    </row>
    <row r="30" ht="39.75" customHeight="1">
      <c r="A30" s="1" t="inlineStr">
        <is>
          <t>2026-03-13_03-03-32</t>
        </is>
      </c>
      <c r="B30" s="1" t="inlineStr">
        <is>
          <t>1773372813904_1773372833704</t>
        </is>
      </c>
      <c r="C30" s="18" t="n">
        <v>1773372831805</v>
      </c>
      <c r="D30" s="64">
        <f>IMAGE("https://liskibruh.github.io/l4_data_sheets_table_images_mapper/l4_problematic_frames/media/image333.png")</f>
        <v/>
      </c>
      <c r="E30" s="64">
        <f>IMAGE("https://liskibruh.github.io/l4_data_sheets_table_images_mapper/l4_problematic_frames/media/image334.png")</f>
        <v/>
      </c>
      <c r="F30" s="56" t="n"/>
      <c r="G30" s="1" t="inlineStr">
        <is>
          <t>Miss annotation of static object</t>
        </is>
      </c>
    </row>
    <row r="31" ht="15" customHeight="1">
      <c r="A31" s="63" t="n"/>
      <c r="B31" s="63" t="n"/>
      <c r="C31" s="18" t="n">
        <v>1773372832405</v>
      </c>
      <c r="D31" s="63" t="n"/>
      <c r="E31" s="63" t="n"/>
      <c r="F31" s="63" t="n"/>
      <c r="G31" s="63" t="n"/>
    </row>
    <row r="32" ht="16.5" customHeight="1" thickBot="1">
      <c r="A32" s="59" t="n"/>
      <c r="B32" s="59" t="n"/>
      <c r="C32" s="19" t="n"/>
      <c r="D32" s="59" t="n"/>
      <c r="E32" s="59" t="n"/>
      <c r="F32" s="59" t="n"/>
      <c r="G32" s="59" t="n"/>
    </row>
    <row r="33" ht="15" customHeight="1">
      <c r="A33" s="1" t="inlineStr">
        <is>
          <t>2026-03-13_03-03-32</t>
        </is>
      </c>
      <c r="B33" s="1" t="inlineStr">
        <is>
          <t>1773372834104_1773372853904</t>
        </is>
      </c>
      <c r="C33" s="18" t="n">
        <v>1773372847304</v>
      </c>
      <c r="D33" s="56">
        <f>IMAGE("https://liskibruh.github.io/l4_data_sheets_table_images_mapper/l4_problematic_frames/media/image335.png")</f>
        <v/>
      </c>
      <c r="E33" s="64">
        <f>IMAGE("https://liskibruh.github.io/l4_data_sheets_table_images_mapper/l4_problematic_frames/media/image336.png")</f>
        <v/>
      </c>
      <c r="F33" s="56">
        <f>IMAGE("https://liskibruh.github.io/l4_data_sheets_table_images_mapper/l4_problematic_frames/media/image337.png")</f>
        <v/>
      </c>
      <c r="G33" s="1" t="inlineStr">
        <is>
          <t>Miss annotation of vehicles</t>
        </is>
      </c>
    </row>
    <row r="34" ht="15" customHeight="1">
      <c r="A34" s="63" t="n"/>
      <c r="B34" s="63" t="n"/>
      <c r="C34" s="18" t="n">
        <v>1773372847504</v>
      </c>
      <c r="D34" s="63" t="n"/>
      <c r="E34" s="63" t="n"/>
      <c r="F34" s="63" t="n"/>
      <c r="G34" s="63" t="n"/>
    </row>
    <row r="35" ht="15" customHeight="1">
      <c r="A35" s="63" t="n"/>
      <c r="B35" s="63" t="n"/>
      <c r="C35" s="18" t="n">
        <v>1773372847604</v>
      </c>
      <c r="D35" s="63" t="n"/>
      <c r="E35" s="63" t="n"/>
      <c r="F35" s="63" t="n"/>
      <c r="G35" s="63" t="n"/>
    </row>
    <row r="36" ht="15" customHeight="1">
      <c r="A36" s="63" t="n"/>
      <c r="B36" s="63" t="n"/>
      <c r="C36" s="18" t="n">
        <v>1773372847705</v>
      </c>
      <c r="D36" s="63" t="n"/>
      <c r="E36" s="63" t="n"/>
      <c r="F36" s="63" t="n"/>
      <c r="G36" s="63" t="n"/>
    </row>
    <row r="37" ht="15" customHeight="1">
      <c r="A37" s="63" t="n"/>
      <c r="B37" s="63" t="n"/>
      <c r="C37" s="18" t="n">
        <v>1773372847805</v>
      </c>
      <c r="D37" s="63" t="n"/>
      <c r="E37" s="63" t="n"/>
      <c r="F37" s="63" t="n"/>
      <c r="G37" s="63" t="n"/>
    </row>
    <row r="38" ht="15" customHeight="1">
      <c r="A38" s="63" t="n"/>
      <c r="B38" s="63" t="n"/>
      <c r="C38" s="18" t="n">
        <v>1773372847905</v>
      </c>
      <c r="D38" s="63" t="n"/>
      <c r="E38" s="63" t="n"/>
      <c r="F38" s="63" t="n"/>
      <c r="G38" s="63" t="n"/>
    </row>
    <row r="39" ht="15" customHeight="1">
      <c r="A39" s="63" t="n"/>
      <c r="B39" s="63" t="n"/>
      <c r="C39" s="18" t="n">
        <v>1773372848004</v>
      </c>
      <c r="D39" s="63" t="n"/>
      <c r="E39" s="63" t="n"/>
      <c r="F39" s="63" t="n"/>
      <c r="G39" s="63" t="n"/>
    </row>
    <row r="40" ht="15" customHeight="1">
      <c r="A40" s="63" t="n"/>
      <c r="B40" s="63" t="n"/>
      <c r="C40" s="18" t="n">
        <v>1773372848204</v>
      </c>
      <c r="D40" s="63" t="n"/>
      <c r="E40" s="63" t="n"/>
      <c r="F40" s="63" t="n"/>
      <c r="G40" s="63" t="n"/>
    </row>
    <row r="41" ht="15" customHeight="1">
      <c r="A41" s="63" t="n"/>
      <c r="B41" s="63" t="n"/>
      <c r="C41" s="18" t="n">
        <v>1773372848305</v>
      </c>
      <c r="D41" s="63" t="n"/>
      <c r="E41" s="63" t="n"/>
      <c r="F41" s="63" t="n"/>
      <c r="G41" s="63" t="n"/>
    </row>
    <row r="42" ht="15" customHeight="1">
      <c r="A42" s="63" t="n"/>
      <c r="B42" s="63" t="n"/>
      <c r="C42" s="18" t="n">
        <v>1773372848405</v>
      </c>
      <c r="D42" s="63" t="n"/>
      <c r="E42" s="63" t="n"/>
      <c r="F42" s="63" t="n"/>
      <c r="G42" s="63" t="n"/>
    </row>
    <row r="43" ht="15" customHeight="1">
      <c r="A43" s="63" t="n"/>
      <c r="B43" s="63" t="n"/>
      <c r="C43" s="18" t="n">
        <v>1773372848505</v>
      </c>
      <c r="D43" s="63" t="n"/>
      <c r="E43" s="63" t="n"/>
      <c r="F43" s="63" t="n"/>
      <c r="G43" s="63" t="n"/>
    </row>
    <row r="44" ht="15.75" customHeight="1" thickBot="1">
      <c r="A44" s="59" t="n"/>
      <c r="B44" s="59" t="n"/>
      <c r="C44" s="16" t="n">
        <v>1773372848605</v>
      </c>
      <c r="D44" s="59" t="n"/>
      <c r="E44" s="59" t="n"/>
      <c r="F44" s="59" t="n"/>
      <c r="G44" s="59" t="n"/>
    </row>
    <row r="45" ht="41.25" customHeight="1">
      <c r="A45" s="1" t="inlineStr">
        <is>
          <t>2026-03-13_03-03-32</t>
        </is>
      </c>
      <c r="B45" s="1" t="inlineStr">
        <is>
          <t>1773372875604_1773372895404</t>
        </is>
      </c>
      <c r="C45" s="18" t="n">
        <v>1773372878604</v>
      </c>
      <c r="D45" s="56">
        <f>IMAGE("https://liskibruh.github.io/l4_data_sheets_table_images_mapper/l4_problematic_frames/media/image338.png")</f>
        <v/>
      </c>
      <c r="E45" s="56">
        <f>IMAGE("https://liskibruh.github.io/l4_data_sheets_table_images_mapper/l4_problematic_frames/media/image339.png")</f>
        <v/>
      </c>
      <c r="F45" s="56" t="n"/>
      <c r="G45" s="1" t="inlineStr">
        <is>
          <t>Miss annotation of vehicles</t>
        </is>
      </c>
    </row>
    <row r="46" ht="15.75" customHeight="1" thickBot="1">
      <c r="A46" s="59" t="n"/>
      <c r="B46" s="59" t="n"/>
      <c r="C46" s="16" t="n">
        <v>1773372878904</v>
      </c>
      <c r="D46" s="59" t="n"/>
      <c r="E46" s="59" t="n"/>
      <c r="F46" s="59" t="n"/>
      <c r="G46" s="59" t="n"/>
    </row>
    <row r="47" ht="25.5" customHeight="1">
      <c r="A47" s="1" t="inlineStr">
        <is>
          <t>2026-03-13_03-03-32</t>
        </is>
      </c>
      <c r="B47" s="1" t="inlineStr">
        <is>
          <t>1773372875604_1773372895404</t>
        </is>
      </c>
      <c r="C47" s="18" t="n">
        <v>1773372879604</v>
      </c>
      <c r="D47" s="56">
        <f>IMAGE("https://liskibruh.github.io/l4_data_sheets_table_images_mapper/l4_problematic_frames/media/image339.png")</f>
        <v/>
      </c>
      <c r="E47" s="56">
        <f>IMAGE("https://liskibruh.github.io/l4_data_sheets_table_images_mapper/l4_problematic_frames/media/image340.png")</f>
        <v/>
      </c>
      <c r="F47" s="56">
        <f>IMAGE("https://liskibruh.github.io/l4_data_sheets_table_images_mapper/l4_problematic_frames/media/image341.png")</f>
        <v/>
      </c>
      <c r="G47" s="1" t="inlineStr">
        <is>
          <t>Miss or false annotation of vehicles</t>
        </is>
      </c>
    </row>
    <row r="48" ht="15" customHeight="1">
      <c r="A48" s="63" t="n"/>
      <c r="B48" s="63" t="n"/>
      <c r="C48" s="18" t="n">
        <v>1773372882504</v>
      </c>
      <c r="D48" s="63" t="n"/>
      <c r="E48" s="63" t="n"/>
      <c r="F48" s="63" t="n"/>
      <c r="G48" s="63" t="n"/>
    </row>
    <row r="49" ht="15" customHeight="1">
      <c r="A49" s="63" t="n"/>
      <c r="B49" s="63" t="n"/>
      <c r="C49" s="18" t="n">
        <v>1773372882504</v>
      </c>
      <c r="D49" s="63" t="n"/>
      <c r="E49" s="63" t="n"/>
      <c r="F49" s="63" t="n"/>
      <c r="G49" s="63" t="n"/>
    </row>
    <row r="50" ht="15.75" customHeight="1" thickBot="1">
      <c r="A50" s="59" t="n"/>
      <c r="B50" s="59" t="n"/>
      <c r="C50" s="16" t="n">
        <v>1773372882804</v>
      </c>
      <c r="D50" s="59" t="n"/>
      <c r="E50" s="59" t="n"/>
      <c r="F50" s="59" t="n"/>
      <c r="G50" s="59" t="n"/>
    </row>
    <row r="51" ht="41.25" customHeight="1">
      <c r="A51" s="1" t="inlineStr">
        <is>
          <t>2026-03-13_03-03-32</t>
        </is>
      </c>
      <c r="B51" s="1" t="inlineStr">
        <is>
          <t>1773372915803_1773372935604</t>
        </is>
      </c>
      <c r="C51" s="18" t="n">
        <v>1773372925305</v>
      </c>
      <c r="D51" s="56">
        <f>IMAGE("https://liskibruh.github.io/l4_data_sheets_table_images_mapper/l4_problematic_frames/media/image342.png")</f>
        <v/>
      </c>
      <c r="E51" s="56">
        <f>IMAGE("https://liskibruh.github.io/l4_data_sheets_table_images_mapper/l4_problematic_frames/media/image343.png")</f>
        <v/>
      </c>
      <c r="F51" s="56" t="n"/>
      <c r="G51" s="1" t="inlineStr">
        <is>
          <t>Miss annotation of vehicles</t>
        </is>
      </c>
    </row>
    <row r="52" ht="15.75" customHeight="1" thickBot="1">
      <c r="A52" s="59" t="n"/>
      <c r="B52" s="59" t="n"/>
      <c r="C52" s="16" t="n">
        <v>1773372925405</v>
      </c>
      <c r="D52" s="59" t="n"/>
      <c r="E52" s="59" t="n"/>
      <c r="F52" s="59" t="n"/>
      <c r="G52" s="59" t="n"/>
    </row>
    <row r="53" ht="15" customHeight="1">
      <c r="A53" s="1" t="inlineStr">
        <is>
          <t>2026-03-13_03-03-32</t>
        </is>
      </c>
      <c r="B53" s="1" t="inlineStr">
        <is>
          <t>1773372976505_1773372996104</t>
        </is>
      </c>
      <c r="C53" s="18" t="n">
        <v>1773372982904</v>
      </c>
      <c r="D53" s="64">
        <f>IMAGE("https://liskibruh.github.io/l4_data_sheets_table_images_mapper/l4_problematic_frames/media/image344.png")</f>
        <v/>
      </c>
      <c r="E53" s="64">
        <f>IMAGE("https://liskibruh.github.io/l4_data_sheets_table_images_mapper/l4_problematic_frames/media/image345.png")</f>
        <v/>
      </c>
      <c r="F53" s="64">
        <f>IMAGE("https://liskibruh.github.io/l4_data_sheets_table_images_mapper/l4_problematic_frames/media/image346.png")</f>
        <v/>
      </c>
      <c r="G53" s="1" t="inlineStr">
        <is>
          <t>Miss annotation of vehicles</t>
        </is>
      </c>
    </row>
    <row r="54" ht="15" customHeight="1">
      <c r="A54" s="63" t="n"/>
      <c r="B54" s="63" t="n"/>
      <c r="C54" s="18" t="n">
        <v>1773372983004</v>
      </c>
      <c r="D54" s="63" t="n"/>
      <c r="E54" s="63" t="n"/>
      <c r="F54" s="63" t="n"/>
      <c r="G54" s="63" t="n"/>
    </row>
    <row r="55" ht="15" customHeight="1">
      <c r="A55" s="63" t="n"/>
      <c r="B55" s="63" t="n"/>
      <c r="C55" s="18" t="n">
        <v>1773372983204</v>
      </c>
      <c r="D55" s="63" t="n"/>
      <c r="E55" s="63" t="n"/>
      <c r="F55" s="63" t="n"/>
      <c r="G55" s="63" t="n"/>
    </row>
    <row r="56" ht="16.5" customHeight="1" thickBot="1">
      <c r="A56" s="59" t="n"/>
      <c r="B56" s="59" t="n"/>
      <c r="C56" s="19" t="n"/>
      <c r="D56" s="59" t="n"/>
      <c r="E56" s="59" t="n"/>
      <c r="F56" s="59" t="n"/>
      <c r="G56" s="59" t="n"/>
    </row>
  </sheetData>
  <mergeCells count="78">
    <mergeCell ref="E8:E9"/>
    <mergeCell ref="D5:D7"/>
    <mergeCell ref="G8:G9"/>
    <mergeCell ref="A51:A52"/>
    <mergeCell ref="D21:D22"/>
    <mergeCell ref="F23:F29"/>
    <mergeCell ref="D45:D46"/>
    <mergeCell ref="B5:B7"/>
    <mergeCell ref="F45:F46"/>
    <mergeCell ref="D30:D32"/>
    <mergeCell ref="E33:E44"/>
    <mergeCell ref="E13:E20"/>
    <mergeCell ref="B53:B56"/>
    <mergeCell ref="D47:D50"/>
    <mergeCell ref="G51:G52"/>
    <mergeCell ref="F47:F50"/>
    <mergeCell ref="G2:G4"/>
    <mergeCell ref="D13:D20"/>
    <mergeCell ref="D8:D9"/>
    <mergeCell ref="A53:A56"/>
    <mergeCell ref="D2:D4"/>
    <mergeCell ref="B10:B12"/>
    <mergeCell ref="E21:E22"/>
    <mergeCell ref="F33:F44"/>
    <mergeCell ref="G21:G22"/>
    <mergeCell ref="E30:E32"/>
    <mergeCell ref="G30:G32"/>
    <mergeCell ref="B23:B29"/>
    <mergeCell ref="A45:A46"/>
    <mergeCell ref="A5:A7"/>
    <mergeCell ref="A21:A22"/>
    <mergeCell ref="A8:A9"/>
    <mergeCell ref="F30:F32"/>
    <mergeCell ref="D53:D56"/>
    <mergeCell ref="F5:F7"/>
    <mergeCell ref="B45:B46"/>
    <mergeCell ref="E10:E12"/>
    <mergeCell ref="A33:A44"/>
    <mergeCell ref="E23:E29"/>
    <mergeCell ref="G23:G29"/>
    <mergeCell ref="A13:A20"/>
    <mergeCell ref="A2:A4"/>
    <mergeCell ref="B47:B50"/>
    <mergeCell ref="E51:E52"/>
    <mergeCell ref="B33:B44"/>
    <mergeCell ref="D33:D44"/>
    <mergeCell ref="B8:B9"/>
    <mergeCell ref="G5:G7"/>
    <mergeCell ref="F21:F22"/>
    <mergeCell ref="F51:F52"/>
    <mergeCell ref="F8:F9"/>
    <mergeCell ref="D10:D12"/>
    <mergeCell ref="G53:G56"/>
    <mergeCell ref="D23:D29"/>
    <mergeCell ref="A30:A32"/>
    <mergeCell ref="B2:B4"/>
    <mergeCell ref="G10:G12"/>
    <mergeCell ref="F13:F20"/>
    <mergeCell ref="E47:E50"/>
    <mergeCell ref="F2:F4"/>
    <mergeCell ref="G47:G50"/>
    <mergeCell ref="G33:G44"/>
    <mergeCell ref="B21:B22"/>
    <mergeCell ref="E2:E4"/>
    <mergeCell ref="F53:F56"/>
    <mergeCell ref="B30:B32"/>
    <mergeCell ref="F10:F12"/>
    <mergeCell ref="A10:A12"/>
    <mergeCell ref="A23:A29"/>
    <mergeCell ref="E45:E46"/>
    <mergeCell ref="E5:E7"/>
    <mergeCell ref="G45:G46"/>
    <mergeCell ref="D1:F1"/>
    <mergeCell ref="B13:B20"/>
    <mergeCell ref="B51:B52"/>
    <mergeCell ref="A47:A50"/>
    <mergeCell ref="D51:D52"/>
    <mergeCell ref="E53:E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2"/>
  <sheetViews>
    <sheetView topLeftCell="A160" zoomScale="145" zoomScaleNormal="145" workbookViewId="0">
      <selection activeCell="C170" sqref="C170:C171"/>
    </sheetView>
  </sheetViews>
  <sheetFormatPr baseColWidth="8" defaultRowHeight="15"/>
  <cols>
    <col width="28.5703125" customWidth="1" min="1" max="1"/>
    <col width="33.7109375" customWidth="1" min="2" max="2"/>
    <col width="17.85546875" customWidth="1" style="20" min="3" max="3"/>
    <col width="38.42578125" customWidth="1" min="7" max="7"/>
  </cols>
  <sheetData>
    <row r="1" ht="15.75" customHeight="1" thickBot="1">
      <c r="A1" s="23" t="inlineStr">
        <is>
          <t>Sequence</t>
        </is>
      </c>
      <c r="B1" s="48" t="inlineStr">
        <is>
          <t>Clip</t>
        </is>
      </c>
      <c r="C1" s="15" t="inlineStr">
        <is>
          <t>Frame ID</t>
        </is>
      </c>
      <c r="D1" s="23" t="inlineStr">
        <is>
          <t>Visualizations</t>
        </is>
      </c>
      <c r="E1" s="53" t="n"/>
      <c r="F1" s="54" t="n"/>
      <c r="G1" s="12" t="inlineStr">
        <is>
          <t>Problem</t>
        </is>
      </c>
    </row>
    <row r="2" ht="41.25" customHeight="1">
      <c r="A2" s="1" t="inlineStr">
        <is>
          <t>18_2026-03-12_05-37-56</t>
        </is>
      </c>
      <c r="B2" s="1" t="inlineStr">
        <is>
          <t>1773293878203_1773293898003</t>
        </is>
      </c>
      <c r="C2" s="55" t="inlineStr">
        <is>
          <t>1773293878403 - 1773293886103</t>
        </is>
      </c>
      <c r="D2" s="56">
        <f>IMAGE("https://liskibruh.github.io/l4_data_sheets_table_images_mapper/l4_problematic_frames/media/image347.png")</f>
        <v/>
      </c>
      <c r="E2" s="56">
        <f>IMAGE("https://liskibruh.github.io/l4_data_sheets_table_images_mapper/l4_problematic_frames/media/image348.png")</f>
        <v/>
      </c>
      <c r="F2" s="56" t="n"/>
      <c r="G2" s="1" t="inlineStr">
        <is>
          <t>Misoriented Direction of car</t>
        </is>
      </c>
    </row>
    <row r="3" ht="15.75" customHeight="1" thickBot="1">
      <c r="A3" s="59" t="n"/>
      <c r="B3" s="59" t="n"/>
      <c r="C3" s="59" t="n"/>
      <c r="D3" s="59" t="n"/>
      <c r="E3" s="59" t="n"/>
      <c r="F3" s="59" t="n"/>
      <c r="G3" s="59" t="n"/>
    </row>
    <row r="4" ht="57.75" customHeight="1" thickBot="1">
      <c r="A4" s="27" t="inlineStr">
        <is>
          <t>18_2026-03-12_05-37-56</t>
        </is>
      </c>
      <c r="B4" s="7" t="inlineStr">
        <is>
          <t>1773293878203_1773293898003</t>
        </is>
      </c>
      <c r="C4" s="16" t="inlineStr">
        <is>
          <t>1773293886603 - 1773293895803</t>
        </is>
      </c>
      <c r="D4" s="42">
        <f>IMAGE("https://liskibruh.github.io/l4_data_sheets_table_images_mapper/l4_problematic_frames/media/image349.png")</f>
        <v/>
      </c>
      <c r="E4" s="42">
        <f>IMAGE("https://liskibruh.github.io/l4_data_sheets_table_images_mapper/l4_problematic_frames/media/image348.png")</f>
        <v/>
      </c>
      <c r="F4" s="42" t="n"/>
      <c r="G4" s="7" t="inlineStr">
        <is>
          <t>Car Misclassified as Truck</t>
        </is>
      </c>
    </row>
    <row r="5" ht="57.75" customHeight="1" thickBot="1">
      <c r="A5" s="27" t="inlineStr">
        <is>
          <t>18_2026-03-12_05-37-56</t>
        </is>
      </c>
      <c r="B5" s="7" t="inlineStr">
        <is>
          <t>1773293878203_1773293898003</t>
        </is>
      </c>
      <c r="C5" s="16" t="inlineStr">
        <is>
          <t>1773293896003 - 1773293898303</t>
        </is>
      </c>
      <c r="D5" s="42">
        <f>IMAGE("https://liskibruh.github.io/l4_data_sheets_table_images_mapper/l4_problematic_frames/media/image348.png")</f>
        <v/>
      </c>
      <c r="E5" s="42">
        <f>IMAGE("https://liskibruh.github.io/l4_data_sheets_table_images_mapper/l4_problematic_frames/media/image350.png")</f>
        <v/>
      </c>
      <c r="F5" s="42" t="n"/>
      <c r="G5" s="7" t="inlineStr">
        <is>
          <t>False Positive Car</t>
        </is>
      </c>
    </row>
    <row r="6" ht="57.75" customHeight="1" thickBot="1">
      <c r="A6" s="27" t="inlineStr">
        <is>
          <t>18_2026-03-12_05-37-56</t>
        </is>
      </c>
      <c r="B6" s="7" t="inlineStr">
        <is>
          <t>1773293898303_1773293918104</t>
        </is>
      </c>
      <c r="C6" s="16" t="inlineStr">
        <is>
          <t>1773293906403 - 1773293914403</t>
        </is>
      </c>
      <c r="D6" s="42">
        <f>IMAGE("https://liskibruh.github.io/l4_data_sheets_table_images_mapper/l4_problematic_frames/media/image351.png")</f>
        <v/>
      </c>
      <c r="E6" s="42">
        <f>IMAGE("https://liskibruh.github.io/l4_data_sheets_table_images_mapper/l4_problematic_frames/media/image352.png")</f>
        <v/>
      </c>
      <c r="F6" s="42" t="n"/>
      <c r="G6" s="7" t="inlineStr">
        <is>
          <t>Car Misclassified as Truck</t>
        </is>
      </c>
    </row>
    <row r="7" ht="57.75" customHeight="1" thickBot="1">
      <c r="A7" s="27" t="inlineStr">
        <is>
          <t>18_2026-03-12_05-37-56</t>
        </is>
      </c>
      <c r="B7" s="7" t="inlineStr">
        <is>
          <t>1773293918304_1773293938205</t>
        </is>
      </c>
      <c r="C7" s="16" t="inlineStr">
        <is>
          <t>1773293919304 - 1773293928504</t>
        </is>
      </c>
      <c r="D7" s="42">
        <f>IMAGE("https://liskibruh.github.io/l4_data_sheets_table_images_mapper/l4_problematic_frames/media/image353.png")</f>
        <v/>
      </c>
      <c r="E7" s="42">
        <f>IMAGE("https://liskibruh.github.io/l4_data_sheets_table_images_mapper/l4_problematic_frames/media/image354.png")</f>
        <v/>
      </c>
      <c r="F7" s="42" t="n"/>
      <c r="G7" s="7" t="inlineStr">
        <is>
          <t>Car Misclassified as Truck</t>
        </is>
      </c>
    </row>
    <row r="8" ht="41.25" customHeight="1">
      <c r="A8" s="1" t="inlineStr">
        <is>
          <t>18_2026-03-12_05-37-56</t>
        </is>
      </c>
      <c r="B8" s="1" t="inlineStr">
        <is>
          <t>1773293918304_1773293938205</t>
        </is>
      </c>
      <c r="C8" s="55" t="inlineStr">
        <is>
          <t>1773293929604 - 1773293930604</t>
        </is>
      </c>
      <c r="D8" s="56">
        <f>IMAGE("https://liskibruh.github.io/l4_data_sheets_table_images_mapper/l4_problematic_frames/media/image355.png")</f>
        <v/>
      </c>
      <c r="E8" s="56">
        <f>IMAGE("https://liskibruh.github.io/l4_data_sheets_table_images_mapper/l4_problematic_frames/media/image356.png")</f>
        <v/>
      </c>
      <c r="F8" s="56" t="n"/>
      <c r="G8" s="1" t="inlineStr">
        <is>
          <t>Misoriented Direction of Car</t>
        </is>
      </c>
    </row>
    <row r="9" ht="15.75" customHeight="1" thickBot="1">
      <c r="A9" s="59" t="n"/>
      <c r="B9" s="59" t="n"/>
      <c r="C9" s="59" t="n"/>
      <c r="D9" s="59" t="n"/>
      <c r="E9" s="59" t="n"/>
      <c r="F9" s="59" t="n"/>
      <c r="G9" s="59" t="n"/>
    </row>
    <row r="10" ht="114.75" customHeight="1" thickBot="1">
      <c r="A10" s="27" t="inlineStr">
        <is>
          <t>18_2026-03-12_05-37-56</t>
        </is>
      </c>
      <c r="B10" s="7" t="inlineStr">
        <is>
          <t>1773293918304_1773293938205</t>
        </is>
      </c>
      <c r="C10" s="16" t="inlineStr">
        <is>
          <t>1773293930704 - 1773293931404, 1773293932504 - 1773293934104</t>
        </is>
      </c>
      <c r="D10" s="42">
        <f>IMAGE("https://liskibruh.github.io/l4_data_sheets_table_images_mapper/l4_problematic_frames/media/image357.png")</f>
        <v/>
      </c>
      <c r="E10" s="42">
        <f>IMAGE("https://liskibruh.github.io/l4_data_sheets_table_images_mapper/l4_problematic_frames/media/image358.png")</f>
        <v/>
      </c>
      <c r="F10" s="42" t="n"/>
      <c r="G10" s="7" t="inlineStr">
        <is>
          <t>False Positive Trucks</t>
        </is>
      </c>
    </row>
    <row r="11" ht="98.25" customHeight="1">
      <c r="A11" s="1" t="inlineStr">
        <is>
          <t>18_2026-03-12_05-37-56</t>
        </is>
      </c>
      <c r="B11" s="1" t="inlineStr">
        <is>
          <t>1773293918304_1773293938205</t>
        </is>
      </c>
      <c r="C11" s="55" t="inlineStr">
        <is>
          <t>1773293934104 - 1773293936305</t>
        </is>
      </c>
      <c r="D11" s="56">
        <f>IMAGE("https://liskibruh.github.io/l4_data_sheets_table_images_mapper/l4_problematic_frames/media/image359.png")</f>
        <v/>
      </c>
      <c r="E11" s="56">
        <f>IMAGE("https://liskibruh.github.io/l4_data_sheets_table_images_mapper/l4_problematic_frames/media/image360.png")</f>
        <v/>
      </c>
      <c r="F11" s="56" t="n"/>
      <c r="G11" s="1" t="inlineStr">
        <is>
          <t>Misoriented Direction of Car + Car Misclassified as Truck</t>
        </is>
      </c>
    </row>
    <row r="12" ht="15.75" customHeight="1" thickBot="1">
      <c r="A12" s="59" t="n"/>
      <c r="B12" s="59" t="n"/>
      <c r="C12" s="59" t="n"/>
      <c r="D12" s="59" t="n"/>
      <c r="E12" s="59" t="n"/>
      <c r="F12" s="59" t="n"/>
      <c r="G12" s="59" t="n"/>
    </row>
    <row r="13" ht="112.5" customHeight="1">
      <c r="A13" s="1" t="inlineStr">
        <is>
          <t>18_2026-03-12_05-37-56</t>
        </is>
      </c>
      <c r="B13" s="1" t="inlineStr">
        <is>
          <t>1773293938405_1773293958304</t>
        </is>
      </c>
      <c r="C13" s="55" t="inlineStr">
        <is>
          <t>1773293938405 - 1773293940603</t>
        </is>
      </c>
      <c r="D13" s="56">
        <f>IMAGE("https://liskibruh.github.io/l4_data_sheets_table_images_mapper/l4_problematic_frames/media/image361.png")</f>
        <v/>
      </c>
      <c r="E13" s="56">
        <f>IMAGE("https://liskibruh.github.io/l4_data_sheets_table_images_mapper/l4_problematic_frames/media/image362.png")</f>
        <v/>
      </c>
      <c r="F13" s="56" t="n"/>
      <c r="G13" s="1" t="inlineStr">
        <is>
          <t>Misclassification of Car as Truck + Misoriented Direction of Car</t>
        </is>
      </c>
    </row>
    <row r="14" ht="15.75" customHeight="1" thickBot="1">
      <c r="A14" s="59" t="n"/>
      <c r="B14" s="59" t="n"/>
      <c r="C14" s="59" t="n"/>
      <c r="D14" s="59" t="n"/>
      <c r="E14" s="59" t="n"/>
      <c r="F14" s="59" t="n"/>
      <c r="G14" s="59" t="n"/>
    </row>
    <row r="15" ht="98.25" customHeight="1">
      <c r="A15" s="1" t="inlineStr">
        <is>
          <t>18_2026-03-12_05-37-56</t>
        </is>
      </c>
      <c r="B15" s="1" t="inlineStr">
        <is>
          <t>1773293938405_1773293958304</t>
        </is>
      </c>
      <c r="C15" s="55" t="inlineStr">
        <is>
          <t>1773293941504 - 1773293945004</t>
        </is>
      </c>
      <c r="D15" s="56">
        <f>IMAGE("https://liskibruh.github.io/l4_data_sheets_table_images_mapper/l4_problematic_frames/media/image363.png")</f>
        <v/>
      </c>
      <c r="E15" s="56">
        <f>IMAGE("https://liskibruh.github.io/l4_data_sheets_table_images_mapper/l4_problematic_frames/media/image364.png")</f>
        <v/>
      </c>
      <c r="F15" s="56" t="n"/>
      <c r="G15" s="1" t="inlineStr">
        <is>
          <t>Misclassification of Truck as Car + Misoriented Direction of Truck</t>
        </is>
      </c>
    </row>
    <row r="16" ht="15.75" customHeight="1" thickBot="1">
      <c r="A16" s="59" t="n"/>
      <c r="B16" s="59" t="n"/>
      <c r="C16" s="59" t="n"/>
      <c r="D16" s="59" t="n"/>
      <c r="E16" s="59" t="n"/>
      <c r="F16" s="59" t="n"/>
      <c r="G16" s="59" t="n"/>
    </row>
    <row r="17" ht="41.25" customHeight="1">
      <c r="A17" s="1" t="inlineStr">
        <is>
          <t>18_2026-03-12_05-37-56</t>
        </is>
      </c>
      <c r="B17" s="1" t="inlineStr">
        <is>
          <t>1773293938405_1773293958304</t>
        </is>
      </c>
      <c r="C17" s="55" t="inlineStr">
        <is>
          <t>1773293945104  - 1773293947705</t>
        </is>
      </c>
      <c r="D17" s="56">
        <f>IMAGE("https://liskibruh.github.io/l4_data_sheets_table_images_mapper/l4_problematic_frames/media/image365.png")</f>
        <v/>
      </c>
      <c r="E17" s="56">
        <f>IMAGE("https://liskibruh.github.io/l4_data_sheets_table_images_mapper/l4_problematic_frames/media/image366.png")</f>
        <v/>
      </c>
      <c r="F17" s="56" t="n"/>
      <c r="G17" s="1" t="inlineStr">
        <is>
          <t>Misclassification of Car as Truck</t>
        </is>
      </c>
    </row>
    <row r="18" ht="15.75" customHeight="1" thickBot="1">
      <c r="A18" s="59" t="n"/>
      <c r="B18" s="59" t="n"/>
      <c r="C18" s="59" t="n"/>
      <c r="D18" s="59" t="n"/>
      <c r="E18" s="59" t="n"/>
      <c r="F18" s="59" t="n"/>
      <c r="G18" s="59" t="n"/>
    </row>
    <row r="19" ht="41.25" customHeight="1">
      <c r="A19" s="1" t="inlineStr">
        <is>
          <t>18_2026-03-12_05-37-56</t>
        </is>
      </c>
      <c r="B19" s="1" t="inlineStr">
        <is>
          <t>1773293938405_1773293958304</t>
        </is>
      </c>
      <c r="C19" s="55" t="inlineStr">
        <is>
          <t>1773293948805 - 1773293949704</t>
        </is>
      </c>
      <c r="D19" s="56">
        <f>IMAGE("https://liskibruh.github.io/l4_data_sheets_table_images_mapper/l4_problematic_frames/media/image367.png")</f>
        <v/>
      </c>
      <c r="E19" s="56">
        <f>IMAGE("https://liskibruh.github.io/l4_data_sheets_table_images_mapper/l4_problematic_frames/media/image368.png")</f>
        <v/>
      </c>
      <c r="F19" s="56" t="n"/>
      <c r="G19" s="1" t="inlineStr">
        <is>
          <t>Misoriented Direction of Car</t>
        </is>
      </c>
    </row>
    <row r="20" ht="15.75" customHeight="1" thickBot="1">
      <c r="A20" s="59" t="n"/>
      <c r="B20" s="59" t="n"/>
      <c r="C20" s="59" t="n"/>
      <c r="D20" s="59" t="n"/>
      <c r="E20" s="59" t="n"/>
      <c r="F20" s="59" t="n"/>
      <c r="G20" s="59" t="n"/>
    </row>
    <row r="21" ht="57.75" customHeight="1" thickBot="1">
      <c r="A21" s="27" t="inlineStr">
        <is>
          <t>18_2026-03-12_05-37-56</t>
        </is>
      </c>
      <c r="B21" s="7" t="inlineStr">
        <is>
          <t>1773293938405_1773293958304</t>
        </is>
      </c>
      <c r="C21" s="16" t="inlineStr">
        <is>
          <t>1773293951105 - 1773293952105</t>
        </is>
      </c>
      <c r="D21" s="42">
        <f>IMAGE("https://liskibruh.github.io/l4_data_sheets_table_images_mapper/l4_problematic_frames/media/image369.png")</f>
        <v/>
      </c>
      <c r="E21" s="42">
        <f>IMAGE("https://liskibruh.github.io/l4_data_sheets_table_images_mapper/l4_problematic_frames/media/image370.png")</f>
        <v/>
      </c>
      <c r="F21" s="42" t="n"/>
      <c r="G21" s="7" t="inlineStr">
        <is>
          <t>Misclassification of Car as Truck</t>
        </is>
      </c>
    </row>
    <row r="22" ht="98.25" customHeight="1">
      <c r="A22" s="1" t="inlineStr">
        <is>
          <t>18_2026-03-12_05-37-56</t>
        </is>
      </c>
      <c r="B22" s="1" t="inlineStr">
        <is>
          <t>1773293938405_1773293958304</t>
        </is>
      </c>
      <c r="C22" s="55" t="inlineStr">
        <is>
          <t>1773293952204 - 1773293953304, 1773293954504 - 1773293955704</t>
        </is>
      </c>
      <c r="D22" s="56">
        <f>IMAGE("https://liskibruh.github.io/l4_data_sheets_table_images_mapper/l4_problematic_frames/media/image371.png")</f>
        <v/>
      </c>
      <c r="E22" s="56">
        <f>IMAGE("https://liskibruh.github.io/l4_data_sheets_table_images_mapper/l4_problematic_frames/media/image372.png")</f>
        <v/>
      </c>
      <c r="F22" s="56" t="n"/>
      <c r="G22" s="1" t="inlineStr">
        <is>
          <t>Missing Static Objects</t>
        </is>
      </c>
    </row>
    <row r="23" ht="15.75" customHeight="1" thickBot="1">
      <c r="A23" s="59" t="n"/>
      <c r="B23" s="59" t="n"/>
      <c r="C23" s="59" t="n"/>
      <c r="D23" s="59" t="n"/>
      <c r="E23" s="59" t="n"/>
      <c r="F23" s="59" t="n"/>
      <c r="G23" s="59" t="n"/>
    </row>
    <row r="24" ht="41.25" customHeight="1">
      <c r="A24" s="1" t="inlineStr">
        <is>
          <t>18_2026-03-12_05-37-56</t>
        </is>
      </c>
      <c r="B24" s="1" t="inlineStr">
        <is>
          <t>1773293938405_1773293958304</t>
        </is>
      </c>
      <c r="C24" s="55" t="inlineStr">
        <is>
          <t>1773293957004 - 1773293958304</t>
        </is>
      </c>
      <c r="D24" s="56">
        <f>IMAGE("https://liskibruh.github.io/l4_data_sheets_table_images_mapper/l4_problematic_frames/media/image373.png")</f>
        <v/>
      </c>
      <c r="E24" s="56">
        <f>IMAGE("https://liskibruh.github.io/l4_data_sheets_table_images_mapper/l4_problematic_frames/media/image374.png")</f>
        <v/>
      </c>
      <c r="F24" s="56" t="n"/>
      <c r="G24" s="1" t="inlineStr">
        <is>
          <t>Misoriented Driection of Car</t>
        </is>
      </c>
    </row>
    <row r="25" ht="15.75" customHeight="1" thickBot="1">
      <c r="A25" s="59" t="n"/>
      <c r="B25" s="59" t="n"/>
      <c r="C25" s="59" t="n"/>
      <c r="D25" s="59" t="n"/>
      <c r="E25" s="59" t="n"/>
      <c r="F25" s="59" t="n"/>
      <c r="G25" s="59" t="n"/>
    </row>
    <row r="26" ht="41.25" customHeight="1">
      <c r="A26" s="1" t="inlineStr">
        <is>
          <t>18_2026-03-12_05-37-56</t>
        </is>
      </c>
      <c r="B26" s="1" t="inlineStr">
        <is>
          <t>1773293958405_1773293978404</t>
        </is>
      </c>
      <c r="C26" s="55" t="inlineStr">
        <is>
          <t>1773293959505 - 1773293960405</t>
        </is>
      </c>
      <c r="D26" s="56">
        <f>IMAGE("https://liskibruh.github.io/l4_data_sheets_table_images_mapper/l4_problematic_frames/media/image375.png")</f>
        <v/>
      </c>
      <c r="E26" s="56">
        <f>IMAGE("https://liskibruh.github.io/l4_data_sheets_table_images_mapper/l4_problematic_frames/media/image376.png")</f>
        <v/>
      </c>
      <c r="F26" s="56" t="n"/>
      <c r="G26" s="1" t="inlineStr">
        <is>
          <t>Misclassification of Truck as Car</t>
        </is>
      </c>
    </row>
    <row r="27" ht="15.75" customHeight="1" thickBot="1">
      <c r="A27" s="59" t="n"/>
      <c r="B27" s="59" t="n"/>
      <c r="C27" s="59" t="n"/>
      <c r="D27" s="59" t="n"/>
      <c r="E27" s="59" t="n"/>
      <c r="F27" s="59" t="n"/>
      <c r="G27" s="59" t="n"/>
    </row>
    <row r="28" ht="41.25" customHeight="1">
      <c r="A28" s="1" t="inlineStr">
        <is>
          <t>18_2026-03-12_05-37-56</t>
        </is>
      </c>
      <c r="B28" s="1" t="inlineStr">
        <is>
          <t>1773293958405_1773293978404</t>
        </is>
      </c>
      <c r="C28" s="55" t="inlineStr">
        <is>
          <t>1773293962604 - 1773293963804</t>
        </is>
      </c>
      <c r="D28" s="56">
        <f>IMAGE("https://liskibruh.github.io/l4_data_sheets_table_images_mapper/l4_problematic_frames/media/image377.png")</f>
        <v/>
      </c>
      <c r="E28" s="56">
        <f>IMAGE("https://liskibruh.github.io/l4_data_sheets_table_images_mapper/l4_problematic_frames/media/image378.png")</f>
        <v/>
      </c>
      <c r="F28" s="56" t="n"/>
      <c r="G28" s="1" t="inlineStr">
        <is>
          <t>False Positive Truck</t>
        </is>
      </c>
    </row>
    <row r="29" ht="15.75" customHeight="1" thickBot="1">
      <c r="A29" s="59" t="n"/>
      <c r="B29" s="59" t="n"/>
      <c r="C29" s="59" t="n"/>
      <c r="D29" s="59" t="n"/>
      <c r="E29" s="59" t="n"/>
      <c r="F29" s="59" t="n"/>
      <c r="G29" s="59" t="n"/>
    </row>
    <row r="30" ht="41.25" customHeight="1">
      <c r="A30" s="1" t="inlineStr">
        <is>
          <t>18_2026-03-12_05-37-56</t>
        </is>
      </c>
      <c r="B30" s="1" t="inlineStr">
        <is>
          <t>1773293958405_1773293978404</t>
        </is>
      </c>
      <c r="C30" s="55" t="inlineStr">
        <is>
          <t>1773293969104 - 1773293970104</t>
        </is>
      </c>
      <c r="D30" s="56">
        <f>IMAGE("https://liskibruh.github.io/l4_data_sheets_table_images_mapper/l4_problematic_frames/media/image379.png")</f>
        <v/>
      </c>
      <c r="E30" s="56">
        <f>IMAGE("https://liskibruh.github.io/l4_data_sheets_table_images_mapper/l4_problematic_frames/media/image380.png")</f>
        <v/>
      </c>
      <c r="F30" s="56" t="n"/>
      <c r="G30" s="1" t="inlineStr">
        <is>
          <t>Missing Static Objects</t>
        </is>
      </c>
    </row>
    <row r="31" ht="15.75" customHeight="1" thickBot="1">
      <c r="A31" s="59" t="n"/>
      <c r="B31" s="59" t="n"/>
      <c r="C31" s="59" t="n"/>
      <c r="D31" s="59" t="n"/>
      <c r="E31" s="59" t="n"/>
      <c r="F31" s="59" t="n"/>
      <c r="G31" s="59" t="n"/>
    </row>
    <row r="32" ht="41.25" customHeight="1">
      <c r="A32" s="1" t="inlineStr">
        <is>
          <t>18_2026-03-12_05-37-56</t>
        </is>
      </c>
      <c r="B32" s="1" t="inlineStr">
        <is>
          <t>1773293958405_1773293978404</t>
        </is>
      </c>
      <c r="C32" s="55" t="inlineStr">
        <is>
          <t>1773293970205 - 1773293972205</t>
        </is>
      </c>
      <c r="D32" s="56">
        <f>IMAGE("https://liskibruh.github.io/l4_data_sheets_table_images_mapper/l4_problematic_frames/media/image381.png")</f>
        <v/>
      </c>
      <c r="E32" s="56">
        <f>IMAGE("https://liskibruh.github.io/l4_data_sheets_table_images_mapper/l4_problematic_frames/media/image382.png")</f>
        <v/>
      </c>
      <c r="F32" s="56" t="n"/>
      <c r="G32" s="1" t="inlineStr">
        <is>
          <t>Misclassification of Truck as Car</t>
        </is>
      </c>
    </row>
    <row r="33" ht="15.75" customHeight="1" thickBot="1">
      <c r="A33" s="59" t="n"/>
      <c r="B33" s="59" t="n"/>
      <c r="C33" s="59" t="n"/>
      <c r="D33" s="59" t="n"/>
      <c r="E33" s="59" t="n"/>
      <c r="F33" s="59" t="n"/>
      <c r="G33" s="59" t="n"/>
    </row>
    <row r="34" ht="112.5" customHeight="1">
      <c r="A34" s="1" t="inlineStr">
        <is>
          <t>18_2026-03-12_05-37-56</t>
        </is>
      </c>
      <c r="B34" s="1" t="inlineStr">
        <is>
          <t>1773293958405_1773293978404</t>
        </is>
      </c>
      <c r="C34" s="55" t="inlineStr">
        <is>
          <t>1773293972305 - 1773293979504</t>
        </is>
      </c>
      <c r="D34" s="56">
        <f>IMAGE("https://liskibruh.github.io/l4_data_sheets_table_images_mapper/l4_problematic_frames/media/image383.png")</f>
        <v/>
      </c>
      <c r="E34" s="56">
        <f>IMAGE("https://liskibruh.github.io/l4_data_sheets_table_images_mapper/l4_problematic_frames/media/image384.png")</f>
        <v/>
      </c>
      <c r="F34" s="56" t="n"/>
      <c r="G34" s="1" t="inlineStr">
        <is>
          <t>Misoriented Direction of Truck + Misclassification of Truck as Car</t>
        </is>
      </c>
    </row>
    <row r="35" ht="15.75" customHeight="1" thickBot="1">
      <c r="A35" s="59" t="n"/>
      <c r="B35" s="59" t="n"/>
      <c r="C35" s="59" t="n"/>
      <c r="D35" s="59" t="n"/>
      <c r="E35" s="59" t="n"/>
      <c r="F35" s="59" t="n"/>
      <c r="G35" s="59" t="n"/>
    </row>
    <row r="36" ht="29.25" customHeight="1" thickBot="1">
      <c r="A36" s="27" t="inlineStr">
        <is>
          <t>18_2026-03-12_05-37-56</t>
        </is>
      </c>
      <c r="B36" s="7" t="inlineStr">
        <is>
          <t>1773293978604_1773293998504</t>
        </is>
      </c>
      <c r="C36" s="16" t="inlineStr">
        <is>
          <t>1773293980705 - 1773293983405</t>
        </is>
      </c>
      <c r="D36" s="42">
        <f>IMAGE("https://liskibruh.github.io/l4_data_sheets_table_images_mapper/l4_problematic_frames/media/image385.png")</f>
        <v/>
      </c>
      <c r="E36" s="42">
        <f>IMAGE("https://liskibruh.github.io/l4_data_sheets_table_images_mapper/l4_problematic_frames/media/image386.png")</f>
        <v/>
      </c>
      <c r="F36" s="42" t="n"/>
      <c r="G36" s="7" t="inlineStr">
        <is>
          <t>Misclassification of Truck as Car</t>
        </is>
      </c>
    </row>
    <row r="37" ht="69.75" customHeight="1">
      <c r="A37" s="1" t="inlineStr">
        <is>
          <t>18_2026-03-12_05-37-56</t>
        </is>
      </c>
      <c r="B37" s="1" t="inlineStr">
        <is>
          <t>1773293978604_1773293998504</t>
        </is>
      </c>
      <c r="C37" s="55" t="inlineStr">
        <is>
          <t>1773293989304 - 1773293990104</t>
        </is>
      </c>
      <c r="D37" s="56">
        <f>IMAGE("https://liskibruh.github.io/l4_data_sheets_table_images_mapper/l4_problematic_frames/media/image387.png")</f>
        <v/>
      </c>
      <c r="E37" s="56">
        <f>IMAGE("https://liskibruh.github.io/l4_data_sheets_table_images_mapper/l4_problematic_frames/media/image388.png")</f>
        <v/>
      </c>
      <c r="F37" s="56" t="n"/>
      <c r="G37" s="1" t="inlineStr">
        <is>
          <t>False Positive Pedestrians and Static Objects</t>
        </is>
      </c>
    </row>
    <row r="38" ht="15.75" customHeight="1" thickBot="1">
      <c r="A38" s="59" t="n"/>
      <c r="B38" s="59" t="n"/>
      <c r="C38" s="59" t="n"/>
      <c r="D38" s="59" t="n"/>
      <c r="E38" s="59" t="n"/>
      <c r="F38" s="59" t="n"/>
      <c r="G38" s="59" t="n"/>
    </row>
    <row r="39" ht="29.25" customHeight="1" thickBot="1">
      <c r="A39" s="27" t="inlineStr">
        <is>
          <t>18_2026-03-12_05-37-56</t>
        </is>
      </c>
      <c r="B39" s="7" t="inlineStr">
        <is>
          <t>1773293978604_1773293998504</t>
        </is>
      </c>
      <c r="C39" s="16" t="inlineStr">
        <is>
          <t>1773293993305 - 1773293994205</t>
        </is>
      </c>
      <c r="D39" s="42">
        <f>IMAGE("https://liskibruh.github.io/l4_data_sheets_table_images_mapper/l4_problematic_frames/media/image389.png")</f>
        <v/>
      </c>
      <c r="E39" s="42">
        <f>IMAGE("https://liskibruh.github.io/l4_data_sheets_table_images_mapper/l4_problematic_frames/media/image390.png")</f>
        <v/>
      </c>
      <c r="F39" s="42" t="n"/>
      <c r="G39" s="7" t="inlineStr">
        <is>
          <t>False Positive Pedestrian</t>
        </is>
      </c>
    </row>
    <row r="40" ht="29.25" customHeight="1" thickBot="1">
      <c r="A40" s="27" t="inlineStr">
        <is>
          <t>18_2026-03-12_05-37-56</t>
        </is>
      </c>
      <c r="B40" s="7" t="inlineStr">
        <is>
          <t>1773293998604_1773294018505</t>
        </is>
      </c>
      <c r="C40" s="16" t="inlineStr">
        <is>
          <t>1773294004605 - 1773294005505</t>
        </is>
      </c>
      <c r="D40" s="42">
        <f>IMAGE("https://liskibruh.github.io/l4_data_sheets_table_images_mapper/l4_problematic_frames/media/image391.png")</f>
        <v/>
      </c>
      <c r="E40" s="42">
        <f>IMAGE("https://liskibruh.github.io/l4_data_sheets_table_images_mapper/l4_problematic_frames/media/image392.png")</f>
        <v/>
      </c>
      <c r="F40" s="42" t="n"/>
      <c r="G40" s="7" t="inlineStr">
        <is>
          <t>Missing Pedestrian</t>
        </is>
      </c>
    </row>
    <row r="41" ht="29.25" customHeight="1" thickBot="1">
      <c r="A41" s="27" t="inlineStr">
        <is>
          <t>18_2026-03-12_05-37-56</t>
        </is>
      </c>
      <c r="B41" s="7" t="inlineStr">
        <is>
          <t>1773293998604_1773294018505</t>
        </is>
      </c>
      <c r="C41" s="16" t="inlineStr">
        <is>
          <t>1773294008604 - 1773294010504</t>
        </is>
      </c>
      <c r="D41" s="42">
        <f>IMAGE("https://liskibruh.github.io/l4_data_sheets_table_images_mapper/l4_problematic_frames/media/image393.png")</f>
        <v/>
      </c>
      <c r="E41" s="42">
        <f>IMAGE("https://liskibruh.github.io/l4_data_sheets_table_images_mapper/l4_problematic_frames/media/image394.png")</f>
        <v/>
      </c>
      <c r="F41" s="42" t="n"/>
      <c r="G41" s="7" t="inlineStr">
        <is>
          <t>Missing Static Object and Pedestrian</t>
        </is>
      </c>
    </row>
    <row r="42" ht="29.25" customHeight="1" thickBot="1">
      <c r="A42" s="27" t="inlineStr">
        <is>
          <t>18_2026-03-12_05-37-56</t>
        </is>
      </c>
      <c r="B42" s="7" t="inlineStr">
        <is>
          <t>1773293998604_1773294018505</t>
        </is>
      </c>
      <c r="C42" s="16" t="inlineStr">
        <is>
          <t>1773294016605 - 1773294017505</t>
        </is>
      </c>
      <c r="D42" s="42">
        <f>IMAGE("https://liskibruh.github.io/l4_data_sheets_table_images_mapper/l4_problematic_frames/media/image395.png")</f>
        <v/>
      </c>
      <c r="E42" s="42">
        <f>IMAGE("https://liskibruh.github.io/l4_data_sheets_table_images_mapper/l4_problematic_frames/media/image396.png")</f>
        <v/>
      </c>
      <c r="F42" s="42" t="n"/>
      <c r="G42" s="7" t="inlineStr">
        <is>
          <t>Misoriented Direction of Truck</t>
        </is>
      </c>
    </row>
    <row r="43" ht="41.25" customHeight="1">
      <c r="A43" s="1" t="inlineStr">
        <is>
          <t>18_2026-03-12_05-37-56</t>
        </is>
      </c>
      <c r="B43" s="1" t="inlineStr">
        <is>
          <t>1773294018604_1773294038505</t>
        </is>
      </c>
      <c r="C43" s="55" t="inlineStr">
        <is>
          <t>1773294018604 - 1773294019504</t>
        </is>
      </c>
      <c r="D43" s="56">
        <f>IMAGE("https://liskibruh.github.io/l4_data_sheets_table_images_mapper/l4_problematic_frames/media/image397.png")</f>
        <v/>
      </c>
      <c r="E43" s="56">
        <f>IMAGE("https://liskibruh.github.io/l4_data_sheets_table_images_mapper/l4_problematic_frames/media/image398.png")</f>
        <v/>
      </c>
      <c r="F43" s="56" t="n"/>
      <c r="G43" s="1" t="inlineStr">
        <is>
          <t>Misclassification of Truck as Car</t>
        </is>
      </c>
    </row>
    <row r="44" ht="15.75" customHeight="1" thickBot="1">
      <c r="A44" s="59" t="n"/>
      <c r="B44" s="59" t="n"/>
      <c r="C44" s="59" t="n"/>
      <c r="D44" s="59" t="n"/>
      <c r="E44" s="59" t="n"/>
      <c r="F44" s="59" t="n"/>
      <c r="G44" s="59" t="n"/>
    </row>
    <row r="45" ht="41.25" customHeight="1">
      <c r="A45" s="1" t="inlineStr">
        <is>
          <t>18_2026-03-12_05-37-56</t>
        </is>
      </c>
      <c r="B45" s="1" t="inlineStr">
        <is>
          <t>1773294018604_1773294038505</t>
        </is>
      </c>
      <c r="C45" s="55" t="inlineStr">
        <is>
          <t>1773294019604 - 1773294020704</t>
        </is>
      </c>
      <c r="D45" s="56">
        <f>IMAGE("https://liskibruh.github.io/l4_data_sheets_table_images_mapper/l4_problematic_frames/media/image399.png")</f>
        <v/>
      </c>
      <c r="E45" s="56">
        <f>IMAGE("https://liskibruh.github.io/l4_data_sheets_table_images_mapper/l4_problematic_frames/media/image400.png")</f>
        <v/>
      </c>
      <c r="F45" s="56" t="n"/>
      <c r="G45" s="1" t="inlineStr">
        <is>
          <t>Missing Static Objects</t>
        </is>
      </c>
    </row>
    <row r="46" ht="15.75" customHeight="1" thickBot="1">
      <c r="A46" s="59" t="n"/>
      <c r="B46" s="59" t="n"/>
      <c r="C46" s="59" t="n"/>
      <c r="D46" s="59" t="n"/>
      <c r="E46" s="59" t="n"/>
      <c r="F46" s="59" t="n"/>
      <c r="G46" s="59" t="n"/>
    </row>
    <row r="47" ht="41.25" customHeight="1">
      <c r="A47" s="1" t="inlineStr">
        <is>
          <t>18_2026-03-12_05-37-56</t>
        </is>
      </c>
      <c r="B47" s="1" t="inlineStr">
        <is>
          <t>1773294018604_1773294038505</t>
        </is>
      </c>
      <c r="C47" s="55" t="inlineStr">
        <is>
          <t>1773294022704 - 1773294023504</t>
        </is>
      </c>
      <c r="D47" s="56">
        <f>IMAGE("https://liskibruh.github.io/l4_data_sheets_table_images_mapper/l4_problematic_frames/media/image401.png")</f>
        <v/>
      </c>
      <c r="E47" s="56">
        <f>IMAGE("https://liskibruh.github.io/l4_data_sheets_table_images_mapper/l4_problematic_frames/media/image402.png")</f>
        <v/>
      </c>
      <c r="F47" s="56" t="n"/>
      <c r="G47" s="1" t="inlineStr">
        <is>
          <t>False Positive Trucks</t>
        </is>
      </c>
    </row>
    <row r="48" ht="15.75" customHeight="1" thickBot="1">
      <c r="A48" s="59" t="n"/>
      <c r="B48" s="59" t="n"/>
      <c r="C48" s="59" t="n"/>
      <c r="D48" s="59" t="n"/>
      <c r="E48" s="59" t="n"/>
      <c r="F48" s="59" t="n"/>
      <c r="G48" s="59" t="n"/>
    </row>
    <row r="49" ht="41.25" customHeight="1">
      <c r="A49" s="1" t="inlineStr">
        <is>
          <t>18_2026-03-12_05-37-56</t>
        </is>
      </c>
      <c r="B49" s="1" t="inlineStr">
        <is>
          <t>1773294018604_1773294038505</t>
        </is>
      </c>
      <c r="C49" s="55" t="inlineStr">
        <is>
          <t>1773294024804 - 1773294025905</t>
        </is>
      </c>
      <c r="D49" s="56">
        <f>IMAGE("https://liskibruh.github.io/l4_data_sheets_table_images_mapper/l4_problematic_frames/media/image403.png")</f>
        <v/>
      </c>
      <c r="E49" s="56">
        <f>IMAGE("https://liskibruh.github.io/l4_data_sheets_table_images_mapper/l4_problematic_frames/media/image404.png")</f>
        <v/>
      </c>
      <c r="F49" s="56" t="n"/>
      <c r="G49" s="1" t="inlineStr">
        <is>
          <t>Misclassification of Truck as Car</t>
        </is>
      </c>
    </row>
    <row r="50" ht="15.75" customHeight="1" thickBot="1">
      <c r="A50" s="59" t="n"/>
      <c r="B50" s="59" t="n"/>
      <c r="C50" s="59" t="n"/>
      <c r="D50" s="59" t="n"/>
      <c r="E50" s="59" t="n"/>
      <c r="F50" s="59" t="n"/>
      <c r="G50" s="59" t="n"/>
    </row>
    <row r="51" ht="29.25" customHeight="1" thickBot="1">
      <c r="A51" s="27" t="inlineStr">
        <is>
          <t>18_2026-03-12_05-37-56</t>
        </is>
      </c>
      <c r="B51" s="7" t="inlineStr">
        <is>
          <t>1773294038605_1773294058604</t>
        </is>
      </c>
      <c r="C51" s="16" t="inlineStr">
        <is>
          <t>1773294040904 - 1773294041804</t>
        </is>
      </c>
      <c r="D51" s="42">
        <f>IMAGE("https://liskibruh.github.io/l4_data_sheets_table_images_mapper/l4_problematic_frames/media/image405.png")</f>
        <v/>
      </c>
      <c r="E51" s="42">
        <f>IMAGE("https://liskibruh.github.io/l4_data_sheets_table_images_mapper/l4_problematic_frames/media/image406.png")</f>
        <v/>
      </c>
      <c r="F51" s="42" t="n"/>
      <c r="G51" s="7" t="inlineStr">
        <is>
          <t>Misoriented Direction of Truck</t>
        </is>
      </c>
    </row>
    <row r="52" ht="29.25" customHeight="1" thickBot="1">
      <c r="A52" s="27" t="inlineStr">
        <is>
          <t>18_2026-03-12_05-37-56</t>
        </is>
      </c>
      <c r="B52" s="7" t="inlineStr">
        <is>
          <t>1773294038605_1773294058604</t>
        </is>
      </c>
      <c r="C52" s="16" t="inlineStr">
        <is>
          <t>1773294044905 - 1773294045805</t>
        </is>
      </c>
      <c r="D52" s="42">
        <f>IMAGE("https://liskibruh.github.io/l4_data_sheets_table_images_mapper/l4_problematic_frames/media/image407.png")</f>
        <v/>
      </c>
      <c r="E52" s="42">
        <f>IMAGE("https://liskibruh.github.io/l4_data_sheets_table_images_mapper/l4_problematic_frames/media/image408.png")</f>
        <v/>
      </c>
      <c r="F52" s="42" t="n"/>
      <c r="G52" s="7" t="inlineStr">
        <is>
          <t>Misoriented Direction of Trucks</t>
        </is>
      </c>
    </row>
    <row r="53" ht="29.25" customHeight="1" thickBot="1">
      <c r="A53" s="27" t="inlineStr">
        <is>
          <t>18_2026-03-12_05-37-56</t>
        </is>
      </c>
      <c r="B53" s="7" t="inlineStr">
        <is>
          <t>1773294038605_1773294058604</t>
        </is>
      </c>
      <c r="C53" s="16" t="inlineStr">
        <is>
          <t>1773294045905 - 1773294046905</t>
        </is>
      </c>
      <c r="D53" s="42">
        <f>IMAGE("https://liskibruh.github.io/l4_data_sheets_table_images_mapper/l4_problematic_frames/media/image409.png")</f>
        <v/>
      </c>
      <c r="E53" s="42">
        <f>IMAGE("https://liskibruh.github.io/l4_data_sheets_table_images_mapper/l4_problematic_frames/media/image410.png")</f>
        <v/>
      </c>
      <c r="F53" s="42" t="n"/>
      <c r="G53" s="7" t="inlineStr">
        <is>
          <t>Misoriented Direction of Truck</t>
        </is>
      </c>
    </row>
    <row r="54" ht="29.25" customHeight="1" thickBot="1">
      <c r="A54" s="27" t="inlineStr">
        <is>
          <t>18_2026-03-12_05-37-56</t>
        </is>
      </c>
      <c r="B54" s="7" t="inlineStr">
        <is>
          <t>1773294038605_1773294058604</t>
        </is>
      </c>
      <c r="C54" s="16" t="inlineStr">
        <is>
          <t>1773294048005 - 1773294048904</t>
        </is>
      </c>
      <c r="D54" s="42">
        <f>IMAGE("https://liskibruh.github.io/l4_data_sheets_table_images_mapper/l4_problematic_frames/media/image411.png")</f>
        <v/>
      </c>
      <c r="E54" s="42">
        <f>IMAGE("https://liskibruh.github.io/l4_data_sheets_table_images_mapper/l4_problematic_frames/media/image412.png")</f>
        <v/>
      </c>
      <c r="F54" s="42" t="n"/>
      <c r="G54" s="7" t="inlineStr">
        <is>
          <t>False Positive Trucks</t>
        </is>
      </c>
    </row>
    <row r="55" ht="29.25" customHeight="1" thickBot="1">
      <c r="A55" s="27" t="inlineStr">
        <is>
          <t>18_2026-03-12_05-37-56</t>
        </is>
      </c>
      <c r="B55" s="7" t="inlineStr">
        <is>
          <t>1773294038605_1773294058604</t>
        </is>
      </c>
      <c r="C55" s="16" t="inlineStr">
        <is>
          <t>1773294050005 - 1773294051904</t>
        </is>
      </c>
      <c r="D55" s="42">
        <f>IMAGE("https://liskibruh.github.io/l4_data_sheets_table_images_mapper/l4_problematic_frames/media/image413.png")</f>
        <v/>
      </c>
      <c r="E55" s="42">
        <f>IMAGE("https://liskibruh.github.io/l4_data_sheets_table_images_mapper/l4_problematic_frames/media/image414.png")</f>
        <v/>
      </c>
      <c r="F55" s="42" t="n"/>
      <c r="G55" s="7" t="inlineStr">
        <is>
          <t>Misclassification of Truck as Car + Misoriented Direction of Truck</t>
        </is>
      </c>
    </row>
    <row r="56" ht="29.25" customHeight="1" thickBot="1">
      <c r="A56" s="27" t="inlineStr">
        <is>
          <t>18_2026-03-12_05-37-56</t>
        </is>
      </c>
      <c r="B56" s="7" t="inlineStr">
        <is>
          <t>1773294038605_1773294058604</t>
        </is>
      </c>
      <c r="C56" s="16" t="inlineStr">
        <is>
          <t>1773294052804 - 1773294055405</t>
        </is>
      </c>
      <c r="D56" s="42">
        <f>IMAGE("https://liskibruh.github.io/l4_data_sheets_table_images_mapper/l4_problematic_frames/media/image415.png")</f>
        <v/>
      </c>
      <c r="E56" s="42">
        <f>IMAGE("https://liskibruh.github.io/l4_data_sheets_table_images_mapper/l4_problematic_frames/media/image416.png")</f>
        <v/>
      </c>
      <c r="F56" s="42" t="n"/>
      <c r="G56" s="7" t="inlineStr">
        <is>
          <t>Misoriented Direction of Trucks</t>
        </is>
      </c>
    </row>
    <row r="57" ht="29.25" customHeight="1" thickBot="1">
      <c r="A57" s="27" t="inlineStr">
        <is>
          <t>18_2026-03-12_05-37-56</t>
        </is>
      </c>
      <c r="B57" s="7" t="inlineStr">
        <is>
          <t>1773294038605_1773294058604</t>
        </is>
      </c>
      <c r="C57" s="16" t="inlineStr">
        <is>
          <t>1773294056505, 1773294056605</t>
        </is>
      </c>
      <c r="D57" s="42">
        <f>IMAGE("https://liskibruh.github.io/l4_data_sheets_table_images_mapper/l4_problematic_frames/media/image417.png")</f>
        <v/>
      </c>
      <c r="E57" s="42">
        <f>IMAGE("https://liskibruh.github.io/l4_data_sheets_table_images_mapper/l4_problematic_frames/media/image418.png")</f>
        <v/>
      </c>
      <c r="F57" s="42" t="n"/>
      <c r="G57" s="7" t="inlineStr">
        <is>
          <t>Missing Truck</t>
        </is>
      </c>
    </row>
    <row r="58" ht="29.25" customHeight="1" thickBot="1">
      <c r="A58" s="27" t="inlineStr">
        <is>
          <t>18_2026-03-12_05-37-56</t>
        </is>
      </c>
      <c r="B58" s="7" t="inlineStr">
        <is>
          <t>1773294038605_1773294058604</t>
        </is>
      </c>
      <c r="C58" s="16" t="inlineStr">
        <is>
          <t>1773294058704 - 1773294059704</t>
        </is>
      </c>
      <c r="D58" s="42">
        <f>IMAGE("https://liskibruh.github.io/l4_data_sheets_table_images_mapper/l4_problematic_frames/media/image419.png")</f>
        <v/>
      </c>
      <c r="E58" s="42">
        <f>IMAGE("https://liskibruh.github.io/l4_data_sheets_table_images_mapper/l4_problematic_frames/media/image419.png")</f>
        <v/>
      </c>
      <c r="F58" s="42" t="n"/>
      <c r="G58" s="7" t="inlineStr">
        <is>
          <t>False Positive Trucks and Car</t>
        </is>
      </c>
    </row>
    <row r="59" ht="29.25" customHeight="1" thickBot="1">
      <c r="A59" s="27" t="inlineStr">
        <is>
          <t>18_2026-03-12_05-37-56</t>
        </is>
      </c>
      <c r="B59" s="7" t="inlineStr">
        <is>
          <t>1773294038605_1773294058604</t>
        </is>
      </c>
      <c r="C59" s="16" t="inlineStr">
        <is>
          <t>1773294060804 - 1773294061704</t>
        </is>
      </c>
      <c r="D59" s="42">
        <f>IMAGE("https://liskibruh.github.io/l4_data_sheets_table_images_mapper/l4_problematic_frames/media/image420.png")</f>
        <v/>
      </c>
      <c r="E59" s="42">
        <f>IMAGE("https://liskibruh.github.io/l4_data_sheets_table_images_mapper/l4_problematic_frames/media/image421.png")</f>
        <v/>
      </c>
      <c r="F59" s="42" t="n"/>
      <c r="G59" s="7" t="inlineStr">
        <is>
          <t>Misclassification of Truck as Car</t>
        </is>
      </c>
    </row>
    <row r="60" ht="29.25" customHeight="1" thickBot="1">
      <c r="A60" s="27" t="inlineStr">
        <is>
          <t>18_2026-03-12_05-37-56</t>
        </is>
      </c>
      <c r="B60" s="7" t="inlineStr">
        <is>
          <t>1773294038605_1773294058604</t>
        </is>
      </c>
      <c r="C60" s="16" t="inlineStr">
        <is>
          <t>1773294063805 - 1773294065705</t>
        </is>
      </c>
      <c r="D60" s="42">
        <f>IMAGE("https://liskibruh.github.io/l4_data_sheets_table_images_mapper/l4_problematic_frames/media/image422.png")</f>
        <v/>
      </c>
      <c r="E60" s="42">
        <f>IMAGE("https://liskibruh.github.io/l4_data_sheets_table_images_mapper/l4_problematic_frames/media/image423.png")</f>
        <v/>
      </c>
      <c r="F60" s="42" t="n"/>
      <c r="G60" s="7" t="inlineStr">
        <is>
          <t>Missing Trucks</t>
        </is>
      </c>
    </row>
    <row r="61" ht="41.25" customHeight="1">
      <c r="A61" s="1" t="inlineStr">
        <is>
          <t>18_2026-03-12_05-37-56</t>
        </is>
      </c>
      <c r="B61" s="1" t="inlineStr">
        <is>
          <t>1773294038605_1773294058604</t>
        </is>
      </c>
      <c r="C61" s="55" t="inlineStr">
        <is>
          <t>1773294065804 - 1773294066704</t>
        </is>
      </c>
      <c r="D61" s="56">
        <f>IMAGE("https://liskibruh.github.io/l4_data_sheets_table_images_mapper/l4_problematic_frames/media/image424.png")</f>
        <v/>
      </c>
      <c r="E61" s="56">
        <f>IMAGE("https://liskibruh.github.io/l4_data_sheets_table_images_mapper/l4_problematic_frames/media/image425.png")</f>
        <v/>
      </c>
      <c r="F61" s="56" t="n"/>
      <c r="G61" s="1" t="inlineStr">
        <is>
          <t>Misoriented Direction of Truck</t>
        </is>
      </c>
    </row>
    <row r="62" ht="15.75" customHeight="1" thickBot="1">
      <c r="A62" s="59" t="n"/>
      <c r="B62" s="59" t="n"/>
      <c r="C62" s="59" t="n"/>
      <c r="D62" s="59" t="n"/>
      <c r="E62" s="59" t="n"/>
      <c r="F62" s="59" t="n"/>
      <c r="G62" s="59" t="n"/>
    </row>
    <row r="63" ht="41.25" customHeight="1">
      <c r="A63" s="1" t="inlineStr">
        <is>
          <t>18_2026-03-12_05-37-56</t>
        </is>
      </c>
      <c r="B63" s="1" t="inlineStr">
        <is>
          <t>1773294038605_1773294058604</t>
        </is>
      </c>
      <c r="C63" s="55" t="inlineStr">
        <is>
          <t>1773294077404 - 1773294078604</t>
        </is>
      </c>
      <c r="D63" s="56">
        <f>IMAGE("https://liskibruh.github.io/l4_data_sheets_table_images_mapper/l4_problematic_frames/media/image426.png")</f>
        <v/>
      </c>
      <c r="E63" s="56">
        <f>IMAGE("https://liskibruh.github.io/l4_data_sheets_table_images_mapper/l4_problematic_frames/media/image427.png")</f>
        <v/>
      </c>
      <c r="F63" s="56" t="n"/>
      <c r="G63" s="1" t="inlineStr">
        <is>
          <t>False Positive Trucks</t>
        </is>
      </c>
    </row>
    <row r="64" ht="15.75" customHeight="1" thickBot="1">
      <c r="A64" s="59" t="n"/>
      <c r="B64" s="59" t="n"/>
      <c r="C64" s="59" t="n"/>
      <c r="D64" s="59" t="n"/>
      <c r="E64" s="59" t="n"/>
      <c r="F64" s="59" t="n"/>
      <c r="G64" s="59" t="n"/>
    </row>
    <row r="65" ht="55.5" customHeight="1">
      <c r="A65" s="1" t="inlineStr">
        <is>
          <t>18_2026-03-12_05-37-56</t>
        </is>
      </c>
      <c r="B65" s="1" t="inlineStr">
        <is>
          <t>1773294038605_1773294058604</t>
        </is>
      </c>
      <c r="C65" s="55" t="inlineStr">
        <is>
          <t>1773294080705 - 1773294081605</t>
        </is>
      </c>
      <c r="D65" s="56">
        <f>IMAGE("https://liskibruh.github.io/l4_data_sheets_table_images_mapper/l4_problematic_frames/media/image428.png")</f>
        <v/>
      </c>
      <c r="E65" s="56">
        <f>IMAGE("https://liskibruh.github.io/l4_data_sheets_table_images_mapper/l4_problematic_frames/media/image429.png")</f>
        <v/>
      </c>
      <c r="F65" s="56" t="n"/>
      <c r="G65" s="1" t="inlineStr">
        <is>
          <t>Misoriented Direction of Trucks</t>
        </is>
      </c>
    </row>
    <row r="66" ht="15.75" customHeight="1" thickBot="1">
      <c r="A66" s="59" t="n"/>
      <c r="B66" s="59" t="n"/>
      <c r="C66" s="59" t="n"/>
      <c r="D66" s="59" t="n"/>
      <c r="E66" s="59" t="n"/>
      <c r="F66" s="59" t="n"/>
      <c r="G66" s="59" t="n"/>
    </row>
    <row r="67" ht="41.25" customHeight="1">
      <c r="A67" s="1" t="inlineStr">
        <is>
          <t>18_2026-03-12_05-37-56</t>
        </is>
      </c>
      <c r="B67" s="1" t="inlineStr">
        <is>
          <t>1773294038605_1773294058604</t>
        </is>
      </c>
      <c r="C67" s="55" t="inlineStr">
        <is>
          <t>1773294089004 - 1773294090404</t>
        </is>
      </c>
      <c r="D67" s="56">
        <f>IMAGE("https://liskibruh.github.io/l4_data_sheets_table_images_mapper/l4_problematic_frames/media/image430.png")</f>
        <v/>
      </c>
      <c r="E67" s="56">
        <f>IMAGE("https://liskibruh.github.io/l4_data_sheets_table_images_mapper/l4_problematic_frames/media/image431.png")</f>
        <v/>
      </c>
      <c r="F67" s="56" t="n"/>
      <c r="G67" s="1" t="inlineStr">
        <is>
          <t>False Positive Car</t>
        </is>
      </c>
    </row>
    <row r="68" ht="15.75" customHeight="1" thickBot="1">
      <c r="A68" s="59" t="n"/>
      <c r="B68" s="59" t="n"/>
      <c r="C68" s="59" t="n"/>
      <c r="D68" s="59" t="n"/>
      <c r="E68" s="59" t="n"/>
      <c r="F68" s="59" t="n"/>
      <c r="G68" s="59" t="n"/>
    </row>
    <row r="69" ht="41.25" customHeight="1">
      <c r="A69" s="1" t="inlineStr">
        <is>
          <t>18_2026-03-12_05-37-56</t>
        </is>
      </c>
      <c r="B69" s="1" t="inlineStr">
        <is>
          <t>1773294038605_1773294058604</t>
        </is>
      </c>
      <c r="C69" s="55" t="inlineStr">
        <is>
          <t>1773294092505 - 1773294093405</t>
        </is>
      </c>
      <c r="D69" s="56">
        <f>IMAGE("https://liskibruh.github.io/l4_data_sheets_table_images_mapper/l4_problematic_frames/media/image432.png")</f>
        <v/>
      </c>
      <c r="E69" s="56">
        <f>IMAGE("https://liskibruh.github.io/l4_data_sheets_table_images_mapper/l4_problematic_frames/media/image433.png")</f>
        <v/>
      </c>
      <c r="F69" s="56" t="n"/>
      <c r="G69" s="1" t="inlineStr">
        <is>
          <t>False Positive Trucks</t>
        </is>
      </c>
    </row>
    <row r="70" ht="15.75" customHeight="1" thickBot="1">
      <c r="A70" s="59" t="n"/>
      <c r="B70" s="59" t="n"/>
      <c r="C70" s="59" t="n"/>
      <c r="D70" s="59" t="n"/>
      <c r="E70" s="59" t="n"/>
      <c r="F70" s="59" t="n"/>
      <c r="G70" s="59" t="n"/>
    </row>
    <row r="71" ht="55.5" customHeight="1">
      <c r="A71" s="1" t="inlineStr">
        <is>
          <t>18_2026-03-12_05-37-56</t>
        </is>
      </c>
      <c r="B71" s="1" t="inlineStr">
        <is>
          <t>1773294038605_1773294058604</t>
        </is>
      </c>
      <c r="C71" s="55" t="inlineStr">
        <is>
          <t>1773294093505 - 1773294096904</t>
        </is>
      </c>
      <c r="D71" s="56">
        <f>IMAGE("https://liskibruh.github.io/l4_data_sheets_table_images_mapper/l4_problematic_frames/media/image434.png")</f>
        <v/>
      </c>
      <c r="E71" s="56">
        <f>IMAGE("https://liskibruh.github.io/l4_data_sheets_table_images_mapper/l4_problematic_frames/media/image435.png")</f>
        <v/>
      </c>
      <c r="F71" s="56" t="n"/>
      <c r="G71" s="1" t="inlineStr">
        <is>
          <t>Misoriented Direction of Trucks</t>
        </is>
      </c>
    </row>
    <row r="72" ht="15.75" customHeight="1" thickBot="1">
      <c r="A72" s="59" t="n"/>
      <c r="B72" s="59" t="n"/>
      <c r="C72" s="59" t="n"/>
      <c r="D72" s="59" t="n"/>
      <c r="E72" s="59" t="n"/>
      <c r="F72" s="59" t="n"/>
      <c r="G72" s="59" t="n"/>
    </row>
    <row r="73" ht="41.25" customHeight="1">
      <c r="A73" s="1" t="inlineStr">
        <is>
          <t>18_2026-03-12_05-37-56</t>
        </is>
      </c>
      <c r="B73" s="1" t="inlineStr">
        <is>
          <t>1773294038605_1773294058604</t>
        </is>
      </c>
      <c r="C73" s="55" t="inlineStr">
        <is>
          <t>1773294097904 - 1773294099605</t>
        </is>
      </c>
      <c r="D73" s="56">
        <f>IMAGE("https://liskibruh.github.io/l4_data_sheets_table_images_mapper/l4_problematic_frames/media/image436.png")</f>
        <v/>
      </c>
      <c r="E73" s="56">
        <f>IMAGE("https://liskibruh.github.io/l4_data_sheets_table_images_mapper/l4_problematic_frames/media/image437.png")</f>
        <v/>
      </c>
      <c r="F73" s="56" t="n"/>
      <c r="G73" s="1" t="inlineStr">
        <is>
          <t>Misoriented Direction of Truck</t>
        </is>
      </c>
    </row>
    <row r="74" ht="15.75" customHeight="1" thickBot="1">
      <c r="A74" s="59" t="n"/>
      <c r="B74" s="59" t="n"/>
      <c r="C74" s="59" t="n"/>
      <c r="D74" s="59" t="n"/>
      <c r="E74" s="59" t="n"/>
      <c r="F74" s="59" t="n"/>
      <c r="G74" s="59" t="n"/>
    </row>
    <row r="75" ht="84" customHeight="1">
      <c r="A75" s="1" t="inlineStr">
        <is>
          <t>18_2026-03-12_05-37-56</t>
        </is>
      </c>
      <c r="B75" s="1" t="inlineStr">
        <is>
          <t>1773294098704_1773294118605</t>
        </is>
      </c>
      <c r="C75" s="55" t="inlineStr">
        <is>
          <t>1773294111804 - 1773294112804</t>
        </is>
      </c>
      <c r="D75" s="56">
        <f>IMAGE("https://liskibruh.github.io/l4_data_sheets_table_images_mapper/l4_problematic_frames/media/image438.png")</f>
        <v/>
      </c>
      <c r="E75" s="56">
        <f>IMAGE("https://liskibruh.github.io/l4_data_sheets_table_images_mapper/l4_problematic_frames/media/image439.png")</f>
        <v/>
      </c>
      <c r="F75" s="56" t="n"/>
      <c r="G75" s="1" t="inlineStr">
        <is>
          <t>Misclassification of Pedestrian as Static Object</t>
        </is>
      </c>
    </row>
    <row r="76" ht="15.75" customHeight="1" thickBot="1">
      <c r="A76" s="59" t="n"/>
      <c r="B76" s="59" t="n"/>
      <c r="C76" s="59" t="n"/>
      <c r="D76" s="59" t="n"/>
      <c r="E76" s="59" t="n"/>
      <c r="F76" s="59" t="n"/>
      <c r="G76" s="59" t="n"/>
    </row>
    <row r="77" ht="43.5" customHeight="1" thickBot="1">
      <c r="A77" s="27" t="inlineStr">
        <is>
          <t>18_2026-03-12_05-37-56</t>
        </is>
      </c>
      <c r="B77" s="7" t="inlineStr">
        <is>
          <t>1773294098704_1773294118605</t>
        </is>
      </c>
      <c r="C77" s="16" t="inlineStr">
        <is>
          <t>1773294115104 -  1773294116004, 1773294118104</t>
        </is>
      </c>
      <c r="D77" s="42">
        <f>IMAGE("https://liskibruh.github.io/l4_data_sheets_table_images_mapper/l4_problematic_frames/media/image440.png")</f>
        <v/>
      </c>
      <c r="E77" s="42">
        <f>IMAGE("https://liskibruh.github.io/l4_data_sheets_table_images_mapper/l4_problematic_frames/media/image441.png")</f>
        <v/>
      </c>
      <c r="F77" s="42" t="n"/>
      <c r="G77" s="7" t="inlineStr">
        <is>
          <t>Missing Trucks</t>
        </is>
      </c>
    </row>
    <row r="78" ht="112.5" customHeight="1">
      <c r="A78" s="1" t="inlineStr">
        <is>
          <t>18_2026-03-12_05-37-56</t>
        </is>
      </c>
      <c r="B78" s="1" t="inlineStr">
        <is>
          <t>1773294118705_1773294138704</t>
        </is>
      </c>
      <c r="C78" s="55" t="inlineStr">
        <is>
          <t>1773294118705 - 1773294120605</t>
        </is>
      </c>
      <c r="D78" s="56">
        <f>IMAGE("https://liskibruh.github.io/l4_data_sheets_table_images_mapper/l4_problematic_frames/media/image442.png")</f>
        <v/>
      </c>
      <c r="E78" s="56">
        <f>IMAGE("https://liskibruh.github.io/l4_data_sheets_table_images_mapper/l4_problematic_frames/media/image443.png")</f>
        <v/>
      </c>
      <c r="F78" s="56" t="n"/>
      <c r="G78" s="1" t="inlineStr">
        <is>
          <t>Misclassification of Pedestrian as Static Object + Missing Trucks</t>
        </is>
      </c>
    </row>
    <row r="79" ht="15.75" customHeight="1" thickBot="1">
      <c r="A79" s="59" t="n"/>
      <c r="B79" s="59" t="n"/>
      <c r="C79" s="59" t="n"/>
      <c r="D79" s="59" t="n"/>
      <c r="E79" s="59" t="n"/>
      <c r="F79" s="59" t="n"/>
      <c r="G79" s="59" t="n"/>
    </row>
    <row r="80" ht="29.25" customHeight="1" thickBot="1">
      <c r="A80" s="27" t="inlineStr">
        <is>
          <t>18_2026-03-12_05-37-56</t>
        </is>
      </c>
      <c r="B80" s="7" t="inlineStr">
        <is>
          <t>1773294118705_1773294138704</t>
        </is>
      </c>
      <c r="C80" s="16" t="inlineStr">
        <is>
          <t>1773294121704 - 1773294122604</t>
        </is>
      </c>
      <c r="D80" s="42">
        <f>IMAGE("https://liskibruh.github.io/l4_data_sheets_table_images_mapper/l4_problematic_frames/media/image444.png")</f>
        <v/>
      </c>
      <c r="E80" s="42">
        <f>IMAGE("https://liskibruh.github.io/l4_data_sheets_table_images_mapper/l4_problematic_frames/media/image445.png")</f>
        <v/>
      </c>
      <c r="F80" s="42" t="n"/>
      <c r="G80" s="7" t="inlineStr">
        <is>
          <t>Missing Truck</t>
        </is>
      </c>
    </row>
    <row r="81" ht="41.25" customHeight="1">
      <c r="A81" s="1" t="inlineStr">
        <is>
          <t>18_2026-03-12_05-37-56</t>
        </is>
      </c>
      <c r="B81" s="1" t="inlineStr">
        <is>
          <t>1773294118705_1773294138704</t>
        </is>
      </c>
      <c r="C81" s="55" t="inlineStr">
        <is>
          <t>1773294124704 - 1773294125604</t>
        </is>
      </c>
      <c r="D81" s="56">
        <f>IMAGE("https://liskibruh.github.io/l4_data_sheets_table_images_mapper/l4_problematic_frames/media/image446.png")</f>
        <v/>
      </c>
      <c r="E81" s="56">
        <f>IMAGE("https://liskibruh.github.io/l4_data_sheets_table_images_mapper/l4_problematic_frames/media/image447.png")</f>
        <v/>
      </c>
      <c r="F81" s="56" t="n"/>
      <c r="G81" s="1" t="inlineStr">
        <is>
          <t>Missing Static Object</t>
        </is>
      </c>
    </row>
    <row r="82" ht="15.75" customHeight="1" thickBot="1">
      <c r="A82" s="59" t="n"/>
      <c r="B82" s="59" t="n"/>
      <c r="C82" s="59" t="n"/>
      <c r="D82" s="59" t="n"/>
      <c r="E82" s="59" t="n"/>
      <c r="F82" s="59" t="n"/>
      <c r="G82" s="59" t="n"/>
    </row>
    <row r="83" ht="84" customHeight="1">
      <c r="A83" s="1" t="inlineStr">
        <is>
          <t>18_2026-03-12_05-37-56</t>
        </is>
      </c>
      <c r="B83" s="1" t="inlineStr">
        <is>
          <t>1773294118705_1773294138704</t>
        </is>
      </c>
      <c r="C83" s="55" t="inlineStr">
        <is>
          <t>1773294125704 - 1773294126605</t>
        </is>
      </c>
      <c r="D83" s="56">
        <f>IMAGE("https://liskibruh.github.io/l4_data_sheets_table_images_mapper/l4_problematic_frames/media/image448.png")</f>
        <v/>
      </c>
      <c r="E83" s="56">
        <f>IMAGE("https://liskibruh.github.io/l4_data_sheets_table_images_mapper/l4_problematic_frames/media/image449.png")</f>
        <v/>
      </c>
      <c r="F83" s="56" t="n"/>
      <c r="G83" s="1" t="inlineStr">
        <is>
          <t>Misclassification of Pedestrian as Static Object</t>
        </is>
      </c>
    </row>
    <row r="84" ht="15.75" customHeight="1" thickBot="1">
      <c r="A84" s="59" t="n"/>
      <c r="B84" s="59" t="n"/>
      <c r="C84" s="59" t="n"/>
      <c r="D84" s="59" t="n"/>
      <c r="E84" s="59" t="n"/>
      <c r="F84" s="59" t="n"/>
      <c r="G84" s="59" t="n"/>
    </row>
    <row r="85" ht="29.25" customHeight="1" thickBot="1">
      <c r="A85" s="27" t="inlineStr">
        <is>
          <t>18_2026-03-12_05-37-56</t>
        </is>
      </c>
      <c r="B85" s="7" t="inlineStr">
        <is>
          <t>1773294118705_1773294138704</t>
        </is>
      </c>
      <c r="C85" s="16" t="inlineStr">
        <is>
          <t xml:space="preserve">1773294130704 - 1773294132604 </t>
        </is>
      </c>
      <c r="D85" s="42">
        <f>IMAGE("https://liskibruh.github.io/l4_data_sheets_table_images_mapper/l4_problematic_frames/media/image450.png")</f>
        <v/>
      </c>
      <c r="E85" s="42">
        <f>IMAGE("https://liskibruh.github.io/l4_data_sheets_table_images_mapper/l4_problematic_frames/media/image451.png")</f>
        <v/>
      </c>
      <c r="F85" s="42" t="n"/>
      <c r="G85" s="7" t="inlineStr">
        <is>
          <t>Misclassification of Static Objects as Cars + Missing Static Objects</t>
        </is>
      </c>
    </row>
    <row r="86" ht="16.5" customHeight="1" thickBot="1">
      <c r="A86" s="27" t="inlineStr">
        <is>
          <t>18_2026-03-12_05-37-56</t>
        </is>
      </c>
      <c r="B86" s="7" t="inlineStr">
        <is>
          <t>1773294118705_1773294138704</t>
        </is>
      </c>
      <c r="C86" s="16" t="n">
        <v>1773294135404</v>
      </c>
      <c r="D86" s="42">
        <f>IMAGE("https://liskibruh.github.io/l4_data_sheets_table_images_mapper/l4_problematic_frames/media/image452.png")</f>
        <v/>
      </c>
      <c r="E86" s="42">
        <f>IMAGE("https://liskibruh.github.io/l4_data_sheets_table_images_mapper/l4_problematic_frames/media/image453.png")</f>
        <v/>
      </c>
      <c r="F86" s="42" t="n"/>
      <c r="G86" s="7" t="inlineStr">
        <is>
          <t>Missing Car</t>
        </is>
      </c>
    </row>
    <row r="87" ht="29.25" customHeight="1" thickBot="1">
      <c r="A87" s="27" t="inlineStr">
        <is>
          <t>18_2026-03-12_05-37-56</t>
        </is>
      </c>
      <c r="B87" s="7" t="inlineStr">
        <is>
          <t>1773294118705_1773294138704</t>
        </is>
      </c>
      <c r="C87" s="16" t="inlineStr">
        <is>
          <t>1773294136705 - 1773294138704</t>
        </is>
      </c>
      <c r="D87" s="42">
        <f>IMAGE("https://liskibruh.github.io/l4_data_sheets_table_images_mapper/l4_problematic_frames/media/image454.png")</f>
        <v/>
      </c>
      <c r="E87" s="42">
        <f>IMAGE("https://liskibruh.github.io/l4_data_sheets_table_images_mapper/l4_problematic_frames/media/image455.png")</f>
        <v/>
      </c>
      <c r="F87" s="42" t="n"/>
      <c r="G87" s="7" t="inlineStr">
        <is>
          <t>Misclassification of Truck as Car + Missing Static Object</t>
        </is>
      </c>
    </row>
    <row r="88" ht="29.25" customHeight="1" thickBot="1">
      <c r="A88" s="27" t="inlineStr">
        <is>
          <t>18_2026-03-12_05-37-56</t>
        </is>
      </c>
      <c r="B88" s="7" t="inlineStr">
        <is>
          <t>1773294138804_1773294158704</t>
        </is>
      </c>
      <c r="C88" s="16" t="inlineStr">
        <is>
          <t>1773294143905 - 1773294146805</t>
        </is>
      </c>
      <c r="D88" s="42">
        <f>IMAGE("https://liskibruh.github.io/l4_data_sheets_table_images_mapper/l4_problematic_frames/media/image456.png")</f>
        <v/>
      </c>
      <c r="E88" s="42">
        <f>IMAGE("https://liskibruh.github.io/l4_data_sheets_table_images_mapper/l4_problematic_frames/media/image457.png")</f>
        <v/>
      </c>
      <c r="F88" s="42" t="n"/>
      <c r="G88" s="7" t="inlineStr">
        <is>
          <t>Misclassification of Cyclist as Static Object + Missing Cyclist</t>
        </is>
      </c>
    </row>
    <row r="89" ht="29.25" customHeight="1" thickBot="1">
      <c r="A89" s="27" t="inlineStr">
        <is>
          <t>18_2026-03-12_05-37-56</t>
        </is>
      </c>
      <c r="B89" s="7" t="inlineStr">
        <is>
          <t>1773294138804_1773294158704</t>
        </is>
      </c>
      <c r="C89" s="16" t="inlineStr">
        <is>
          <t>1773294145905 - 1773294146505</t>
        </is>
      </c>
      <c r="D89" s="42">
        <f>IMAGE("https://liskibruh.github.io/l4_data_sheets_table_images_mapper/l4_problematic_frames/media/image458.png")</f>
        <v/>
      </c>
      <c r="E89" s="42">
        <f>IMAGE("https://liskibruh.github.io/l4_data_sheets_table_images_mapper/l4_problematic_frames/media/image459.png")</f>
        <v/>
      </c>
      <c r="F89" s="42" t="n"/>
      <c r="G89" s="7" t="inlineStr">
        <is>
          <t>False Positive Truck</t>
        </is>
      </c>
    </row>
    <row r="90" ht="29.25" customHeight="1" thickBot="1">
      <c r="A90" s="27" t="inlineStr">
        <is>
          <t>18_2026-03-12_05-37-56</t>
        </is>
      </c>
      <c r="B90" s="7" t="inlineStr">
        <is>
          <t>1773294138804_1773294158704</t>
        </is>
      </c>
      <c r="C90" s="16" t="inlineStr">
        <is>
          <t>1773294146904 - 1773294149804</t>
        </is>
      </c>
      <c r="D90" s="42">
        <f>IMAGE("https://liskibruh.github.io/l4_data_sheets_table_images_mapper/l4_problematic_frames/media/image460.png")</f>
        <v/>
      </c>
      <c r="E90" s="42">
        <f>IMAGE("https://liskibruh.github.io/l4_data_sheets_table_images_mapper/l4_problematic_frames/media/image461.png")</f>
        <v/>
      </c>
      <c r="F90" s="42" t="n"/>
      <c r="G90" s="7" t="inlineStr">
        <is>
          <t>Misoriented Direction of Truck</t>
        </is>
      </c>
    </row>
    <row r="91" ht="16.5" customHeight="1" thickBot="1">
      <c r="A91" s="27" t="inlineStr">
        <is>
          <t>18_2026-03-12_05-37-56</t>
        </is>
      </c>
      <c r="B91" s="7" t="inlineStr">
        <is>
          <t>1773294138804_1773294158704</t>
        </is>
      </c>
      <c r="C91" s="16" t="n">
        <v>1773294153805</v>
      </c>
      <c r="D91" s="42">
        <f>IMAGE("https://liskibruh.github.io/l4_data_sheets_table_images_mapper/l4_problematic_frames/media/image462.png")</f>
        <v/>
      </c>
      <c r="E91" s="42">
        <f>IMAGE("https://liskibruh.github.io/l4_data_sheets_table_images_mapper/l4_problematic_frames/media/image463.png")</f>
        <v/>
      </c>
      <c r="F91" s="42" t="n"/>
      <c r="G91" s="7" t="inlineStr">
        <is>
          <t>Missing Pedestrian</t>
        </is>
      </c>
    </row>
    <row r="92" ht="41.25" customHeight="1">
      <c r="A92" s="1" t="inlineStr">
        <is>
          <t>18_2026-03-12_05-37-56</t>
        </is>
      </c>
      <c r="B92" s="1" t="inlineStr">
        <is>
          <t>1773294158804_1773294178704</t>
        </is>
      </c>
      <c r="C92" s="55" t="inlineStr">
        <is>
          <t>1773294160304 - 1773294160704</t>
        </is>
      </c>
      <c r="D92" s="56">
        <f>IMAGE("https://liskibruh.github.io/l4_data_sheets_table_images_mapper/l4_problematic_frames/media/image464.png")</f>
        <v/>
      </c>
      <c r="E92" s="56">
        <f>IMAGE("https://liskibruh.github.io/l4_data_sheets_table_images_mapper/l4_problematic_frames/media/image465.png")</f>
        <v/>
      </c>
      <c r="F92" s="56" t="n"/>
      <c r="G92" s="1" t="inlineStr">
        <is>
          <t>Missing Pedestrians</t>
        </is>
      </c>
    </row>
    <row r="93" ht="15.75" customHeight="1" thickBot="1">
      <c r="A93" s="59" t="n"/>
      <c r="B93" s="59" t="n"/>
      <c r="C93" s="59" t="n"/>
      <c r="D93" s="59" t="n"/>
      <c r="E93" s="59" t="n"/>
      <c r="F93" s="59" t="n"/>
      <c r="G93" s="59" t="n"/>
    </row>
    <row r="94" ht="16.5" customHeight="1" thickBot="1">
      <c r="A94" s="27" t="inlineStr">
        <is>
          <t>18_2026-03-12_05-37-56</t>
        </is>
      </c>
      <c r="B94" s="7" t="inlineStr">
        <is>
          <t>1773294158804_1773294178704</t>
        </is>
      </c>
      <c r="C94" s="16" t="n">
        <v>1773294162004</v>
      </c>
      <c r="D94" s="42">
        <f>IMAGE("https://liskibruh.github.io/l4_data_sheets_table_images_mapper/l4_problematic_frames/media/image466.png")</f>
        <v/>
      </c>
      <c r="E94" s="42">
        <f>IMAGE("https://liskibruh.github.io/l4_data_sheets_table_images_mapper/l4_problematic_frames/media/image467.png")</f>
        <v/>
      </c>
      <c r="F94" s="42" t="n"/>
      <c r="G94" s="7" t="inlineStr">
        <is>
          <t>Missing Pedestrian</t>
        </is>
      </c>
    </row>
    <row r="95" ht="29.25" customHeight="1" thickBot="1">
      <c r="A95" s="27" t="inlineStr">
        <is>
          <t>18_2026-03-12_05-37-56</t>
        </is>
      </c>
      <c r="B95" s="7" t="inlineStr">
        <is>
          <t>1773294158804_1773294178704</t>
        </is>
      </c>
      <c r="C95" s="16" t="inlineStr">
        <is>
          <t>1773294162805 - 1773294163705</t>
        </is>
      </c>
      <c r="D95" s="42">
        <f>IMAGE("https://liskibruh.github.io/l4_data_sheets_table_images_mapper/l4_problematic_frames/media/image468.png")</f>
        <v/>
      </c>
      <c r="E95" s="42">
        <f>IMAGE("https://liskibruh.github.io/l4_data_sheets_table_images_mapper/l4_problematic_frames/media/image469.png")</f>
        <v/>
      </c>
      <c r="F95" s="42" t="n"/>
      <c r="G95" s="7" t="inlineStr">
        <is>
          <t>Misclassification of Truck as Car + Misoriented Direction of Truck</t>
        </is>
      </c>
    </row>
    <row r="96" ht="55.5" customHeight="1">
      <c r="A96" s="1" t="inlineStr">
        <is>
          <t>18_2026-03-12_05-37-56</t>
        </is>
      </c>
      <c r="B96" s="1" t="inlineStr">
        <is>
          <t>1773294158804_1773294178704</t>
        </is>
      </c>
      <c r="C96" s="55" t="inlineStr">
        <is>
          <t>1773294164805 - 1773294165704</t>
        </is>
      </c>
      <c r="D96" s="56">
        <f>IMAGE("https://liskibruh.github.io/l4_data_sheets_table_images_mapper/l4_problematic_frames/media/image470.png")</f>
        <v/>
      </c>
      <c r="E96" s="56">
        <f>IMAGE("https://liskibruh.github.io/l4_data_sheets_table_images_mapper/l4_problematic_frames/media/image471.png")</f>
        <v/>
      </c>
      <c r="F96" s="56" t="n"/>
      <c r="G96" s="1" t="inlineStr">
        <is>
          <t>Misclassification of Truck as Static Object</t>
        </is>
      </c>
    </row>
    <row r="97" ht="15.75" customHeight="1" thickBot="1">
      <c r="A97" s="59" t="n"/>
      <c r="B97" s="59" t="n"/>
      <c r="C97" s="59" t="n"/>
      <c r="D97" s="59" t="n"/>
      <c r="E97" s="59" t="n"/>
      <c r="F97" s="59" t="n"/>
      <c r="G97" s="59" t="n"/>
    </row>
    <row r="98" ht="29.25" customHeight="1" thickBot="1">
      <c r="A98" s="27" t="inlineStr">
        <is>
          <t>18_2026-03-12_05-37-56</t>
        </is>
      </c>
      <c r="B98" s="7" t="inlineStr">
        <is>
          <t>1773294158804_1773294178704</t>
        </is>
      </c>
      <c r="C98" s="16" t="inlineStr">
        <is>
          <t>1773294165804 - 1773294166405</t>
        </is>
      </c>
      <c r="D98" s="42">
        <f>IMAGE("https://liskibruh.github.io/l4_data_sheets_table_images_mapper/l4_problematic_frames/media/image470.png")</f>
        <v/>
      </c>
      <c r="E98" s="42">
        <f>IMAGE("https://liskibruh.github.io/l4_data_sheets_table_images_mapper/l4_problematic_frames/media/image471.png")</f>
        <v/>
      </c>
      <c r="F98" s="42" t="n"/>
      <c r="G98" s="7" t="inlineStr">
        <is>
          <t>Misclassification of Truck as Car</t>
        </is>
      </c>
    </row>
    <row r="99" ht="29.25" customHeight="1" thickBot="1">
      <c r="A99" s="27" t="inlineStr">
        <is>
          <t>18_2026-03-12_05-37-56</t>
        </is>
      </c>
      <c r="B99" s="7" t="inlineStr">
        <is>
          <t>1773294158804_1773294178704</t>
        </is>
      </c>
      <c r="C99" s="16" t="inlineStr">
        <is>
          <t>1773294167704 - 1773294169604</t>
        </is>
      </c>
      <c r="D99" s="42">
        <f>IMAGE("https://liskibruh.github.io/l4_data_sheets_table_images_mapper/l4_problematic_frames/media/image472.png")</f>
        <v/>
      </c>
      <c r="E99" s="42">
        <f>IMAGE("https://liskibruh.github.io/l4_data_sheets_table_images_mapper/l4_problematic_frames/media/image473.png")</f>
        <v/>
      </c>
      <c r="F99" s="42" t="n"/>
      <c r="G99" s="7" t="inlineStr">
        <is>
          <t xml:space="preserve">Misclassification of Truck as Car, Missing Truck </t>
        </is>
      </c>
    </row>
    <row r="100" ht="29.25" customHeight="1" thickBot="1">
      <c r="A100" s="27" t="inlineStr">
        <is>
          <t>18_2026-03-12_05-37-56</t>
        </is>
      </c>
      <c r="B100" s="7" t="inlineStr">
        <is>
          <t>1773294158804_1773294178704</t>
        </is>
      </c>
      <c r="C100" s="16" t="inlineStr">
        <is>
          <t>1773294170004 - 1773294170204</t>
        </is>
      </c>
      <c r="D100" s="42">
        <f>IMAGE("https://liskibruh.github.io/l4_data_sheets_table_images_mapper/l4_problematic_frames/media/image474.png")</f>
        <v/>
      </c>
      <c r="E100" s="42">
        <f>IMAGE("https://liskibruh.github.io/l4_data_sheets_table_images_mapper/l4_problematic_frames/media/image475.png")</f>
        <v/>
      </c>
      <c r="F100" s="42" t="n"/>
      <c r="G100" s="7" t="inlineStr">
        <is>
          <t>Missing Pedestrian</t>
        </is>
      </c>
    </row>
    <row r="101" ht="29.25" customHeight="1" thickBot="1">
      <c r="A101" s="27" t="inlineStr">
        <is>
          <t>18_2026-03-12_05-37-56</t>
        </is>
      </c>
      <c r="B101" s="7" t="inlineStr">
        <is>
          <t>1773294158804_1773294178704</t>
        </is>
      </c>
      <c r="C101" s="16" t="inlineStr">
        <is>
          <t>1773294170704 - 1773294171605</t>
        </is>
      </c>
      <c r="D101" s="42">
        <f>IMAGE("https://liskibruh.github.io/l4_data_sheets_table_images_mapper/l4_problematic_frames/media/image476.png")</f>
        <v/>
      </c>
      <c r="E101" s="42">
        <f>IMAGE("https://liskibruh.github.io/l4_data_sheets_table_images_mapper/l4_problematic_frames/media/image477.png")</f>
        <v/>
      </c>
      <c r="F101" s="42" t="n"/>
      <c r="G101" s="7" t="inlineStr">
        <is>
          <t>Misoriented Direction of Truck</t>
        </is>
      </c>
    </row>
    <row r="102" ht="29.25" customHeight="1" thickBot="1">
      <c r="A102" s="27" t="inlineStr">
        <is>
          <t>18_2026-03-12_05-37-56</t>
        </is>
      </c>
      <c r="B102" s="7" t="inlineStr">
        <is>
          <t>1773294158804_1773294178704</t>
        </is>
      </c>
      <c r="C102" s="16" t="inlineStr">
        <is>
          <t>1773294171705 - 1773294172605</t>
        </is>
      </c>
      <c r="D102" s="42">
        <f>IMAGE("https://liskibruh.github.io/l4_data_sheets_table_images_mapper/l4_problematic_frames/media/image478.png")</f>
        <v/>
      </c>
      <c r="E102" s="42">
        <f>IMAGE("https://liskibruh.github.io/l4_data_sheets_table_images_mapper/l4_problematic_frames/media/image479.png")</f>
        <v/>
      </c>
      <c r="F102" s="42" t="n"/>
      <c r="G102" s="7" t="inlineStr">
        <is>
          <t>Missing Truck</t>
        </is>
      </c>
    </row>
    <row r="103" ht="29.25" customHeight="1" thickBot="1">
      <c r="A103" s="27" t="inlineStr">
        <is>
          <t>18_2026-03-12_05-37-56</t>
        </is>
      </c>
      <c r="B103" s="7" t="inlineStr">
        <is>
          <t>1773294158804_1773294178704</t>
        </is>
      </c>
      <c r="C103" s="16" t="inlineStr">
        <is>
          <t>1773294173705 - 1773294174704</t>
        </is>
      </c>
      <c r="D103" s="42">
        <f>IMAGE("https://liskibruh.github.io/l4_data_sheets_table_images_mapper/l4_problematic_frames/media/image480.png")</f>
        <v/>
      </c>
      <c r="E103" s="42">
        <f>IMAGE("https://liskibruh.github.io/l4_data_sheets_table_images_mapper/l4_problematic_frames/media/image481.png")</f>
        <v/>
      </c>
      <c r="F103" s="42" t="n"/>
      <c r="G103" s="7" t="inlineStr">
        <is>
          <t>False Positive Truck</t>
        </is>
      </c>
    </row>
    <row r="104" ht="29.25" customHeight="1" thickBot="1">
      <c r="A104" s="27" t="inlineStr">
        <is>
          <t>18_2026-03-12_05-37-56</t>
        </is>
      </c>
      <c r="B104" s="7" t="inlineStr">
        <is>
          <t>1773294158804_1773294178704</t>
        </is>
      </c>
      <c r="C104" s="16" t="inlineStr">
        <is>
          <t>1773294174804 - 1773294175704</t>
        </is>
      </c>
      <c r="D104" s="42">
        <f>IMAGE("https://liskibruh.github.io/l4_data_sheets_table_images_mapper/l4_problematic_frames/media/image482.png")</f>
        <v/>
      </c>
      <c r="E104" s="42">
        <f>IMAGE("https://liskibruh.github.io/l4_data_sheets_table_images_mapper/l4_problematic_frames/media/image483.png")</f>
        <v/>
      </c>
      <c r="F104" s="42" t="n"/>
      <c r="G104" s="7" t="inlineStr">
        <is>
          <t>Pedestrians Misclassified as Static Objects</t>
        </is>
      </c>
    </row>
    <row r="105" ht="29.25" customHeight="1" thickBot="1">
      <c r="A105" s="27" t="inlineStr">
        <is>
          <t>18_2026-03-12_05-37-56</t>
        </is>
      </c>
      <c r="B105" s="7" t="inlineStr">
        <is>
          <t>1773294158804_1773294178704</t>
        </is>
      </c>
      <c r="C105" s="16" t="inlineStr">
        <is>
          <t xml:space="preserve">1773294175804 - 1773294176704 </t>
        </is>
      </c>
      <c r="D105" s="42">
        <f>IMAGE("https://liskibruh.github.io/l4_data_sheets_table_images_mapper/l4_problematic_frames/media/image484.png")</f>
        <v/>
      </c>
      <c r="E105" s="42">
        <f>IMAGE("https://liskibruh.github.io/l4_data_sheets_table_images_mapper/l4_problematic_frames/media/image481.png")</f>
        <v/>
      </c>
      <c r="F105" s="42" t="n"/>
      <c r="G105" s="7" t="inlineStr">
        <is>
          <t>Misclassification of Truck as Car + False Positive Car</t>
        </is>
      </c>
    </row>
    <row r="106" ht="84" customHeight="1">
      <c r="A106" s="1" t="inlineStr">
        <is>
          <t>18_2026-03-12_05-37-56</t>
        </is>
      </c>
      <c r="B106" s="1" t="inlineStr">
        <is>
          <t>1773294158804_1773294178704</t>
        </is>
      </c>
      <c r="C106" s="55" t="inlineStr">
        <is>
          <t>1773294176804 - 1773294177704</t>
        </is>
      </c>
      <c r="D106" s="56">
        <f>IMAGE("https://liskibruh.github.io/l4_data_sheets_table_images_mapper/l4_problematic_frames/media/image485.png")</f>
        <v/>
      </c>
      <c r="E106" s="56">
        <f>IMAGE("https://liskibruh.github.io/l4_data_sheets_table_images_mapper/l4_problematic_frames/media/image486.png")</f>
        <v/>
      </c>
      <c r="F106" s="56" t="n"/>
      <c r="G106" s="1" t="inlineStr">
        <is>
          <t>Misoriented Direction of Truck + False Positive Truck</t>
        </is>
      </c>
    </row>
    <row r="107" ht="15.75" customHeight="1" thickBot="1">
      <c r="A107" s="59" t="n"/>
      <c r="B107" s="59" t="n"/>
      <c r="C107" s="59" t="n"/>
      <c r="D107" s="59" t="n"/>
      <c r="E107" s="59" t="n"/>
      <c r="F107" s="59" t="n"/>
      <c r="G107" s="59" t="n"/>
    </row>
    <row r="108" ht="112.5" customHeight="1">
      <c r="A108" s="1" t="inlineStr">
        <is>
          <t>18_2026-03-12_05-37-56</t>
        </is>
      </c>
      <c r="B108" s="1" t="inlineStr">
        <is>
          <t>1773294158804_1773294178704 and 1773294178804_1773294198704</t>
        </is>
      </c>
      <c r="C108" s="55" t="inlineStr">
        <is>
          <t>1773294177804 - 1773294179705</t>
        </is>
      </c>
      <c r="D108" s="56">
        <f>IMAGE("https://liskibruh.github.io/l4_data_sheets_table_images_mapper/l4_problematic_frames/media/image487.png")</f>
        <v/>
      </c>
      <c r="E108" s="56">
        <f>IMAGE("https://liskibruh.github.io/l4_data_sheets_table_images_mapper/l4_problematic_frames/media/image488.png")</f>
        <v/>
      </c>
      <c r="F108" s="56" t="n"/>
      <c r="G108" s="1" t="inlineStr">
        <is>
          <t>Missing Truck</t>
        </is>
      </c>
    </row>
    <row r="109" ht="15.75" customHeight="1" thickBot="1">
      <c r="A109" s="59" t="n"/>
      <c r="B109" s="59" t="n"/>
      <c r="C109" s="59" t="n"/>
      <c r="D109" s="59" t="n"/>
      <c r="E109" s="59" t="n"/>
      <c r="F109" s="59" t="n"/>
      <c r="G109" s="59" t="n"/>
    </row>
    <row r="110" ht="29.25" customHeight="1" thickBot="1">
      <c r="A110" s="27" t="inlineStr">
        <is>
          <t>18_2026-03-12_05-37-56</t>
        </is>
      </c>
      <c r="B110" s="7" t="inlineStr">
        <is>
          <t>1773294178804_1773294198704</t>
        </is>
      </c>
      <c r="C110" s="16" t="inlineStr">
        <is>
          <t>1773294180905 - 1773294181805</t>
        </is>
      </c>
      <c r="D110" s="42">
        <f>IMAGE("https://liskibruh.github.io/l4_data_sheets_table_images_mapper/l4_problematic_frames/media/image489.png")</f>
        <v/>
      </c>
      <c r="E110" s="42">
        <f>IMAGE("https://liskibruh.github.io/l4_data_sheets_table_images_mapper/l4_problematic_frames/media/image490.png")</f>
        <v/>
      </c>
      <c r="F110" s="42" t="n"/>
      <c r="G110" s="7" t="inlineStr">
        <is>
          <t>Misoriented Direction of Truck</t>
        </is>
      </c>
    </row>
    <row r="111" ht="126.75" customHeight="1">
      <c r="A111" s="1" t="inlineStr">
        <is>
          <t>18_2026-03-12_05-37-56</t>
        </is>
      </c>
      <c r="B111" s="1" t="inlineStr">
        <is>
          <t>1773294178804_1773294198704</t>
        </is>
      </c>
      <c r="C111" s="55" t="inlineStr">
        <is>
          <t>1773294182904 - 1773294183804</t>
        </is>
      </c>
      <c r="D111" s="56">
        <f>IMAGE("https://liskibruh.github.io/l4_data_sheets_table_images_mapper/l4_problematic_frames/media/image491.png")</f>
        <v/>
      </c>
      <c r="E111" s="56">
        <f>IMAGE("https://liskibruh.github.io/l4_data_sheets_table_images_mapper/l4_problematic_frames/media/image492.png")</f>
        <v/>
      </c>
      <c r="F111" s="56" t="n"/>
      <c r="G111" s="1" t="inlineStr">
        <is>
          <t>Misclassification of Pedestrians as Car + Misoriented Direction of Truck</t>
        </is>
      </c>
    </row>
    <row r="112" ht="15.75" customHeight="1" thickBot="1">
      <c r="A112" s="59" t="n"/>
      <c r="B112" s="59" t="n"/>
      <c r="C112" s="59" t="n"/>
      <c r="D112" s="59" t="n"/>
      <c r="E112" s="59" t="n"/>
      <c r="F112" s="59" t="n"/>
      <c r="G112" s="59" t="n"/>
    </row>
    <row r="113" ht="69.75" customHeight="1">
      <c r="A113" s="1" t="inlineStr">
        <is>
          <t>18_2026-03-12_05-37-56</t>
        </is>
      </c>
      <c r="B113" s="1" t="inlineStr">
        <is>
          <t>1773294178804_1773294198704</t>
        </is>
      </c>
      <c r="C113" s="55" t="inlineStr">
        <is>
          <t>1773294183904 - 1773294184804</t>
        </is>
      </c>
      <c r="D113" s="56">
        <f>IMAGE("https://liskibruh.github.io/l4_data_sheets_table_images_mapper/l4_problematic_frames/media/image493.png")</f>
        <v/>
      </c>
      <c r="E113" s="56">
        <f>IMAGE("https://liskibruh.github.io/l4_data_sheets_table_images_mapper/l4_problematic_frames/media/image494.png")</f>
        <v/>
      </c>
      <c r="F113" s="56" t="n"/>
      <c r="G113" s="1" t="inlineStr">
        <is>
          <t>Misclassification of Pedestrians as Truck</t>
        </is>
      </c>
    </row>
    <row r="114" ht="15.75" customHeight="1" thickBot="1">
      <c r="A114" s="59" t="n"/>
      <c r="B114" s="59" t="n"/>
      <c r="C114" s="59" t="n"/>
      <c r="D114" s="59" t="n"/>
      <c r="E114" s="59" t="n"/>
      <c r="F114" s="59" t="n"/>
      <c r="G114" s="59" t="n"/>
    </row>
    <row r="115" ht="43.5" customHeight="1" thickBot="1">
      <c r="A115" s="27" t="inlineStr">
        <is>
          <t>18_2026-03-12_05-37-56</t>
        </is>
      </c>
      <c r="B115" s="7" t="inlineStr">
        <is>
          <t>1773294178804_1773294198704</t>
        </is>
      </c>
      <c r="C115" s="16" t="inlineStr">
        <is>
          <t>1773294186905 - 1773294187805</t>
        </is>
      </c>
      <c r="D115" s="42">
        <f>IMAGE("https://liskibruh.github.io/l4_data_sheets_table_images_mapper/l4_problematic_frames/media/image495.png")</f>
        <v/>
      </c>
      <c r="E115" s="42">
        <f>IMAGE("https://liskibruh.github.io/l4_data_sheets_table_images_mapper/l4_problematic_frames/media/image496.png")</f>
        <v/>
      </c>
      <c r="F115" s="42" t="n"/>
      <c r="G115" s="7" t="inlineStr">
        <is>
          <t>Misclassification of Truck as Cars + Misclassification of Pedestrians as Static Objects</t>
        </is>
      </c>
    </row>
    <row r="116" ht="98.25" customHeight="1">
      <c r="A116" s="1" t="inlineStr">
        <is>
          <t>18_2026-03-12_05-37-56</t>
        </is>
      </c>
      <c r="B116" s="1" t="inlineStr">
        <is>
          <t>1773294178804_1773294198704</t>
        </is>
      </c>
      <c r="C116" s="55" t="inlineStr">
        <is>
          <t>1773294187905 - 1773294188805, 1773294189904 - 1773294193204</t>
        </is>
      </c>
      <c r="D116" s="56">
        <f>IMAGE("https://liskibruh.github.io/l4_data_sheets_table_images_mapper/l4_problematic_frames/media/image497.png")</f>
        <v/>
      </c>
      <c r="E116" s="56">
        <f>IMAGE("https://liskibruh.github.io/l4_data_sheets_table_images_mapper/l4_problematic_frames/media/image498.png")</f>
        <v/>
      </c>
      <c r="F116" s="56" t="n"/>
      <c r="G116" s="1" t="inlineStr">
        <is>
          <t>Misoriented Direction of Truck</t>
        </is>
      </c>
    </row>
    <row r="117" ht="15.75" customHeight="1" thickBot="1">
      <c r="A117" s="59" t="n"/>
      <c r="B117" s="59" t="n"/>
      <c r="C117" s="59" t="n"/>
      <c r="D117" s="59" t="n"/>
      <c r="E117" s="59" t="n"/>
      <c r="F117" s="59" t="n"/>
      <c r="G117" s="59" t="n"/>
    </row>
    <row r="118" ht="29.25" customHeight="1" thickBot="1">
      <c r="A118" s="27" t="inlineStr">
        <is>
          <t>18_2026-03-12_05-37-56</t>
        </is>
      </c>
      <c r="B118" s="7" t="inlineStr">
        <is>
          <t>1773294178804_1773294198704</t>
        </is>
      </c>
      <c r="C118" s="16" t="inlineStr">
        <is>
          <t>1773294193304 - 1773294194404</t>
        </is>
      </c>
      <c r="D118" s="42">
        <f>IMAGE("https://liskibruh.github.io/l4_data_sheets_table_images_mapper/l4_problematic_frames/media/image499.png")</f>
        <v/>
      </c>
      <c r="E118" s="42">
        <f>IMAGE("https://liskibruh.github.io/l4_data_sheets_table_images_mapper/l4_problematic_frames/media/image500.png")</f>
        <v/>
      </c>
      <c r="F118" s="42" t="n"/>
      <c r="G118" s="7" t="inlineStr">
        <is>
          <t>Misclassification of Truck as Car</t>
        </is>
      </c>
    </row>
    <row r="119" ht="29.25" customHeight="1" thickBot="1">
      <c r="A119" s="27" t="inlineStr">
        <is>
          <t>18_2026-03-12_05-37-56</t>
        </is>
      </c>
      <c r="B119" s="7" t="inlineStr">
        <is>
          <t>1773294178804_1773294198704</t>
        </is>
      </c>
      <c r="C119" s="16" t="inlineStr">
        <is>
          <t>1773294194605 - 1773294195805</t>
        </is>
      </c>
      <c r="D119" s="42">
        <f>IMAGE("https://liskibruh.github.io/l4_data_sheets_table_images_mapper/l4_problematic_frames/media/image501.png")</f>
        <v/>
      </c>
      <c r="E119" s="42">
        <f>IMAGE("https://liskibruh.github.io/l4_data_sheets_table_images_mapper/l4_problematic_frames/media/image502.png")</f>
        <v/>
      </c>
      <c r="F119" s="42" t="n"/>
      <c r="G119" s="7" t="inlineStr">
        <is>
          <t>False Positive Pedestrians</t>
        </is>
      </c>
    </row>
    <row r="120" ht="72" customHeight="1" thickBot="1">
      <c r="A120" s="27" t="inlineStr">
        <is>
          <t>18_2026-03-12_05-37-56</t>
        </is>
      </c>
      <c r="B120" s="7" t="inlineStr">
        <is>
          <t>1773294178804_1773294198704</t>
        </is>
      </c>
      <c r="C120" s="16" t="inlineStr">
        <is>
          <t>1773294196805, 1773294197305, 1773294197704, 1773294197904, 1773294198305</t>
        </is>
      </c>
      <c r="D120" s="42">
        <f>IMAGE("https://liskibruh.github.io/l4_data_sheets_table_images_mapper/l4_problematic_frames/media/image503.png")</f>
        <v/>
      </c>
      <c r="E120" s="42">
        <f>IMAGE("https://liskibruh.github.io/l4_data_sheets_table_images_mapper/l4_problematic_frames/media/image504.png")</f>
        <v/>
      </c>
      <c r="F120" s="42" t="n"/>
      <c r="G120" s="7" t="inlineStr">
        <is>
          <t>Missing Pedestrian</t>
        </is>
      </c>
    </row>
    <row r="121" ht="29.25" customHeight="1" thickBot="1">
      <c r="A121" s="27" t="inlineStr">
        <is>
          <t>18_2026-03-12_05-44-12</t>
        </is>
      </c>
      <c r="B121" s="7" t="inlineStr">
        <is>
          <t>1773294254100_1773294273303</t>
        </is>
      </c>
      <c r="C121" s="16" t="inlineStr">
        <is>
          <t>1773294257800 - 1773294263500</t>
        </is>
      </c>
      <c r="D121" s="42">
        <f>IMAGE("https://liskibruh.github.io/l4_data_sheets_table_images_mapper/l4_problematic_frames/media/image505.png")</f>
        <v/>
      </c>
      <c r="E121" s="42">
        <f>IMAGE("https://liskibruh.github.io/l4_data_sheets_table_images_mapper/l4_problematic_frames/media/image506.png")</f>
        <v/>
      </c>
      <c r="F121" s="42" t="n"/>
      <c r="G121" s="7" t="inlineStr">
        <is>
          <t>Misclassification of Truck as Car</t>
        </is>
      </c>
    </row>
    <row r="122" ht="43.5" customHeight="1" thickBot="1">
      <c r="A122" s="27" t="inlineStr">
        <is>
          <t>18_2026-03-12_05-44-12</t>
        </is>
      </c>
      <c r="B122" s="7" t="inlineStr">
        <is>
          <t>1773294274203_1773294294105</t>
        </is>
      </c>
      <c r="C122" s="16" t="inlineStr">
        <is>
          <t>1773294291805, 1773294292104 - 1773294293505</t>
        </is>
      </c>
      <c r="D122" s="42">
        <f>IMAGE("https://liskibruh.github.io/l4_data_sheets_table_images_mapper/l4_problematic_frames/media/image507.png")</f>
        <v/>
      </c>
      <c r="E122" s="42">
        <f>IMAGE("https://liskibruh.github.io/l4_data_sheets_table_images_mapper/l4_problematic_frames/media/image508.png")</f>
        <v/>
      </c>
      <c r="F122" s="42" t="n"/>
      <c r="G122" s="7" t="inlineStr">
        <is>
          <t>Missing Car</t>
        </is>
      </c>
    </row>
    <row r="123" ht="41.25" customHeight="1">
      <c r="A123" s="1" t="inlineStr">
        <is>
          <t>18_2026-03-12_05-44-12</t>
        </is>
      </c>
      <c r="B123" s="1" t="inlineStr">
        <is>
          <t>1773294294305_1773294314304</t>
        </is>
      </c>
      <c r="C123" s="55" t="inlineStr">
        <is>
          <t>1773294301505 - 1773294302305</t>
        </is>
      </c>
      <c r="D123" s="56">
        <f>IMAGE("https://liskibruh.github.io/l4_data_sheets_table_images_mapper/l4_problematic_frames/media/image509.png")</f>
        <v/>
      </c>
      <c r="E123" s="56">
        <f>IMAGE("https://liskibruh.github.io/l4_data_sheets_table_images_mapper/l4_problematic_frames/media/image510.png")</f>
        <v/>
      </c>
      <c r="F123" s="56" t="n"/>
      <c r="G123" s="1" t="inlineStr">
        <is>
          <t>False Positive Car</t>
        </is>
      </c>
    </row>
    <row r="124" ht="15.75" customHeight="1" thickBot="1">
      <c r="A124" s="59" t="n"/>
      <c r="B124" s="59" t="n"/>
      <c r="C124" s="59" t="n"/>
      <c r="D124" s="59" t="n"/>
      <c r="E124" s="59" t="n"/>
      <c r="F124" s="59" t="n"/>
      <c r="G124" s="59" t="n"/>
    </row>
    <row r="125" ht="29.25" customHeight="1" thickBot="1">
      <c r="A125" s="27" t="inlineStr">
        <is>
          <t>18_2026-03-12_05-44-12</t>
        </is>
      </c>
      <c r="B125" s="7" t="inlineStr">
        <is>
          <t>1773294294305_1773294314304</t>
        </is>
      </c>
      <c r="C125" s="16" t="inlineStr">
        <is>
          <t>1773294302405 - 1773294303504</t>
        </is>
      </c>
      <c r="D125" s="42">
        <f>IMAGE("https://liskibruh.github.io/l4_data_sheets_table_images_mapper/l4_problematic_frames/media/image511.png")</f>
        <v/>
      </c>
      <c r="E125" s="42">
        <f>IMAGE("https://liskibruh.github.io/l4_data_sheets_table_images_mapper/l4_problematic_frames/media/image512.png")</f>
        <v/>
      </c>
      <c r="F125" s="42" t="n"/>
      <c r="G125" s="7" t="inlineStr">
        <is>
          <t>Misclassification of Truck as Car</t>
        </is>
      </c>
    </row>
    <row r="126" ht="29.25" customHeight="1" thickBot="1">
      <c r="A126" s="27" t="inlineStr">
        <is>
          <t>18_2026-03-12_05-44-12</t>
        </is>
      </c>
      <c r="B126" s="7" t="inlineStr">
        <is>
          <t>1773294294305_1773294314304</t>
        </is>
      </c>
      <c r="C126" s="16" t="inlineStr">
        <is>
          <t>1773294304804 - 1773294307304</t>
        </is>
      </c>
      <c r="D126" s="42">
        <f>IMAGE("https://liskibruh.github.io/l4_data_sheets_table_images_mapper/l4_problematic_frames/media/image513.png")</f>
        <v/>
      </c>
      <c r="E126" s="42">
        <f>IMAGE("https://liskibruh.github.io/l4_data_sheets_table_images_mapper/l4_problematic_frames/media/image514.png")</f>
        <v/>
      </c>
      <c r="F126" s="42">
        <f>IMAGE("https://liskibruh.github.io/l4_data_sheets_table_images_mapper/l4_problematic_frames/media/image515.png")</f>
        <v/>
      </c>
      <c r="G126" s="7" t="inlineStr">
        <is>
          <t>False Positive Truck + False Positive Car</t>
        </is>
      </c>
    </row>
    <row r="127" ht="29.25" customHeight="1" thickBot="1">
      <c r="A127" s="27" t="inlineStr">
        <is>
          <t>18_2026-03-12_05-44-12</t>
        </is>
      </c>
      <c r="B127" s="7" t="inlineStr">
        <is>
          <t>1773294294305_1773294314304</t>
        </is>
      </c>
      <c r="C127" s="16" t="inlineStr">
        <is>
          <t>1773294308605 - 1773294309704</t>
        </is>
      </c>
      <c r="D127" s="42">
        <f>IMAGE("https://liskibruh.github.io/l4_data_sheets_table_images_mapper/l4_problematic_frames/media/image516.png")</f>
        <v/>
      </c>
      <c r="E127" s="42">
        <f>IMAGE("https://liskibruh.github.io/l4_data_sheets_table_images_mapper/l4_problematic_frames/media/image517.png")</f>
        <v/>
      </c>
      <c r="F127" s="42" t="n"/>
      <c r="G127" s="7" t="inlineStr">
        <is>
          <t>Misoriented Direction of Car</t>
        </is>
      </c>
    </row>
    <row r="128" ht="41.25" customHeight="1">
      <c r="A128" s="1" t="inlineStr">
        <is>
          <t>18_2026-03-12_05-44-12</t>
        </is>
      </c>
      <c r="B128" s="1" t="inlineStr">
        <is>
          <t>1773294294305_1773294314304</t>
        </is>
      </c>
      <c r="C128" s="55" t="inlineStr">
        <is>
          <t>1773294310904 - 1773294313704</t>
        </is>
      </c>
      <c r="D128" s="56">
        <f>IMAGE("https://liskibruh.github.io/l4_data_sheets_table_images_mapper/l4_problematic_frames/media/image518.png")</f>
        <v/>
      </c>
      <c r="E128" s="56">
        <f>IMAGE("https://liskibruh.github.io/l4_data_sheets_table_images_mapper/l4_problematic_frames/media/image519.png")</f>
        <v/>
      </c>
      <c r="F128" s="56" t="n"/>
      <c r="G128" s="1" t="inlineStr">
        <is>
          <t>Misclassification of Truck as Car</t>
        </is>
      </c>
    </row>
    <row r="129" ht="15.75" customHeight="1" thickBot="1">
      <c r="A129" s="59" t="n"/>
      <c r="B129" s="59" t="n"/>
      <c r="C129" s="59" t="n"/>
      <c r="D129" s="59" t="n"/>
      <c r="E129" s="59" t="n"/>
      <c r="F129" s="59" t="n"/>
      <c r="G129" s="59" t="n"/>
    </row>
    <row r="130" ht="29.25" customHeight="1" thickBot="1">
      <c r="A130" s="27" t="inlineStr">
        <is>
          <t>18_2026-03-12_05-44-12</t>
        </is>
      </c>
      <c r="B130" s="7" t="inlineStr">
        <is>
          <t>1773294314505_1773294334504</t>
        </is>
      </c>
      <c r="C130" s="16" t="inlineStr">
        <is>
          <t>1773294320905 - 1773294324604</t>
        </is>
      </c>
      <c r="D130" s="42">
        <f>IMAGE("https://liskibruh.github.io/l4_data_sheets_table_images_mapper/l4_problematic_frames/media/image520.png")</f>
        <v/>
      </c>
      <c r="E130" s="42">
        <f>IMAGE("https://liskibruh.github.io/l4_data_sheets_table_images_mapper/l4_problematic_frames/media/image521.png")</f>
        <v/>
      </c>
      <c r="F130" s="42" t="n"/>
      <c r="G130" s="7" t="inlineStr">
        <is>
          <t>Misclassification of Trucks as Cars</t>
        </is>
      </c>
    </row>
    <row r="131" ht="100.5" customHeight="1" thickBot="1">
      <c r="A131" s="27" t="inlineStr">
        <is>
          <t>18_2026-03-12_05-44-12</t>
        </is>
      </c>
      <c r="B131" s="7" t="inlineStr">
        <is>
          <t>1773294314505_1773294334504</t>
        </is>
      </c>
      <c r="C131" s="16" t="inlineStr">
        <is>
          <t>1773294331305, 1773294331405, 1773294331505, 1773294331705, 1773294331904, 1773294332005, 1773294332105</t>
        </is>
      </c>
      <c r="D131" s="42">
        <f>IMAGE("https://liskibruh.github.io/l4_data_sheets_table_images_mapper/l4_problematic_frames/media/image522.png")</f>
        <v/>
      </c>
      <c r="E131" s="42">
        <f>IMAGE("https://liskibruh.github.io/l4_data_sheets_table_images_mapper/l4_problematic_frames/media/image523.png")</f>
        <v/>
      </c>
      <c r="F131" s="42" t="n"/>
      <c r="G131" s="7" t="inlineStr">
        <is>
          <t>False Positive Truck</t>
        </is>
      </c>
    </row>
    <row r="132" ht="29.25" customHeight="1" thickBot="1">
      <c r="A132" s="27" t="inlineStr">
        <is>
          <t>18_2026-03-12_05-44-12</t>
        </is>
      </c>
      <c r="B132" s="7" t="inlineStr">
        <is>
          <t>1773294334604_1773294354505</t>
        </is>
      </c>
      <c r="C132" s="16" t="inlineStr">
        <is>
          <t>1773294334604 - 1773294335804</t>
        </is>
      </c>
      <c r="D132" s="42">
        <f>IMAGE("https://liskibruh.github.io/l4_data_sheets_table_images_mapper/l4_problematic_frames/media/image524.png")</f>
        <v/>
      </c>
      <c r="E132" s="42">
        <f>IMAGE("https://liskibruh.github.io/l4_data_sheets_table_images_mapper/l4_problematic_frames/media/image525.png")</f>
        <v/>
      </c>
      <c r="F132" s="42" t="n"/>
      <c r="G132" s="7" t="inlineStr">
        <is>
          <t>Missing Pedestrian/ Missing Static Object</t>
        </is>
      </c>
    </row>
    <row r="133" ht="29.25" customHeight="1" thickBot="1">
      <c r="A133" s="27" t="inlineStr">
        <is>
          <t>18_2026-03-12_05-44-12</t>
        </is>
      </c>
      <c r="B133" s="7" t="inlineStr">
        <is>
          <t>1773294334604_1773294354505</t>
        </is>
      </c>
      <c r="C133" s="16" t="inlineStr">
        <is>
          <t>1773294336604 - 1773294339005</t>
        </is>
      </c>
      <c r="D133" s="42">
        <f>IMAGE("https://liskibruh.github.io/l4_data_sheets_table_images_mapper/l4_problematic_frames/media/image526.png")</f>
        <v/>
      </c>
      <c r="E133" s="42">
        <f>IMAGE("https://liskibruh.github.io/l4_data_sheets_table_images_mapper/l4_problematic_frames/media/image527.png")</f>
        <v/>
      </c>
      <c r="F133" s="42" t="n"/>
      <c r="G133" s="7" t="inlineStr">
        <is>
          <t>Miclassification of Static Objects as Car</t>
        </is>
      </c>
    </row>
    <row r="134" ht="43.5" customHeight="1" thickBot="1">
      <c r="A134" s="27" t="inlineStr">
        <is>
          <t>18_2026-03-12_05-44-12</t>
        </is>
      </c>
      <c r="B134" s="7" t="inlineStr">
        <is>
          <t>1773294334604_1773294354505</t>
        </is>
      </c>
      <c r="C134" s="16" t="inlineStr">
        <is>
          <t>1773294341404, 1773294341804 - 1773294342404</t>
        </is>
      </c>
      <c r="D134" s="42">
        <f>IMAGE("https://liskibruh.github.io/l4_data_sheets_table_images_mapper/l4_problematic_frames/media/image528.png")</f>
        <v/>
      </c>
      <c r="E134" s="42">
        <f>IMAGE("https://liskibruh.github.io/l4_data_sheets_table_images_mapper/l4_problematic_frames/media/image529.png")</f>
        <v/>
      </c>
      <c r="F134" s="42" t="n"/>
      <c r="G134" s="7" t="inlineStr">
        <is>
          <t>Misclassification of Static Objects as Pedestrians</t>
        </is>
      </c>
    </row>
    <row r="135" ht="29.25" customHeight="1" thickBot="1">
      <c r="A135" s="27" t="inlineStr">
        <is>
          <t>18_2026-03-12_05-44-12</t>
        </is>
      </c>
      <c r="B135" s="7" t="inlineStr">
        <is>
          <t>1773294334604_1773294354505</t>
        </is>
      </c>
      <c r="C135" s="16" t="inlineStr">
        <is>
          <t>1773294343404 - 1773294344104</t>
        </is>
      </c>
      <c r="D135" s="42">
        <f>IMAGE("https://liskibruh.github.io/l4_data_sheets_table_images_mapper/l4_problematic_frames/media/image530.png")</f>
        <v/>
      </c>
      <c r="E135" s="42">
        <f>IMAGE("https://liskibruh.github.io/l4_data_sheets_table_images_mapper/l4_problematic_frames/media/image531.png")</f>
        <v/>
      </c>
      <c r="F135" s="42" t="n"/>
      <c r="G135" s="7" t="inlineStr">
        <is>
          <t>False Positive Cars</t>
        </is>
      </c>
    </row>
    <row r="136" ht="29.25" customHeight="1" thickBot="1">
      <c r="A136" s="27" t="inlineStr">
        <is>
          <t>18_2026-03-12_05-44-12</t>
        </is>
      </c>
      <c r="B136" s="7" t="inlineStr">
        <is>
          <t>1773294334604_1773294354505</t>
        </is>
      </c>
      <c r="C136" s="16" t="inlineStr">
        <is>
          <t>1773294349004 - 1773294350004</t>
        </is>
      </c>
      <c r="D136" s="42">
        <f>IMAGE("https://liskibruh.github.io/l4_data_sheets_table_images_mapper/l4_problematic_frames/media/image532.png")</f>
        <v/>
      </c>
      <c r="E136" s="42">
        <f>IMAGE("https://liskibruh.github.io/l4_data_sheets_table_images_mapper/l4_problematic_frames/media/image533.png")</f>
        <v/>
      </c>
      <c r="F136" s="42" t="n"/>
      <c r="G136" s="7" t="inlineStr">
        <is>
          <t>False Positive Static Object</t>
        </is>
      </c>
    </row>
    <row r="137" ht="112.5" customHeight="1">
      <c r="A137" s="1" t="inlineStr">
        <is>
          <t>18_2026-03-12_05-44-12</t>
        </is>
      </c>
      <c r="B137" s="1" t="inlineStr">
        <is>
          <t>1773294334604_1773294354505 and 1773294354604_1773294374505</t>
        </is>
      </c>
      <c r="C137" s="55" t="inlineStr">
        <is>
          <t>1773294353205 - 1773294355305</t>
        </is>
      </c>
      <c r="D137" s="56">
        <f>IMAGE("https://liskibruh.github.io/l4_data_sheets_table_images_mapper/l4_problematic_frames/media/image534.png")</f>
        <v/>
      </c>
      <c r="E137" s="56">
        <f>IMAGE("https://liskibruh.github.io/l4_data_sheets_table_images_mapper/l4_problematic_frames/media/image535.png")</f>
        <v/>
      </c>
      <c r="F137" s="56" t="n"/>
      <c r="G137" s="1" t="inlineStr">
        <is>
          <t>False Positive Trucks</t>
        </is>
      </c>
    </row>
    <row r="138" ht="15.75" customHeight="1" thickBot="1">
      <c r="A138" s="59" t="n"/>
      <c r="B138" s="59" t="n"/>
      <c r="C138" s="59" t="n"/>
      <c r="D138" s="59" t="n"/>
      <c r="E138" s="59" t="n"/>
      <c r="F138" s="59" t="n"/>
      <c r="G138" s="59" t="n"/>
    </row>
    <row r="139" ht="84" customHeight="1">
      <c r="A139" s="1" t="inlineStr">
        <is>
          <t>18_2026-03-12_05-44-12</t>
        </is>
      </c>
      <c r="B139" s="1" t="inlineStr">
        <is>
          <t>1773294354604_1773294374505</t>
        </is>
      </c>
      <c r="C139" s="55" t="inlineStr">
        <is>
          <t>1773294355404 - 1773294356504</t>
        </is>
      </c>
      <c r="D139" s="56">
        <f>IMAGE("https://liskibruh.github.io/l4_data_sheets_table_images_mapper/l4_problematic_frames/media/image536.png")</f>
        <v/>
      </c>
      <c r="E139" s="56">
        <f>IMAGE("https://liskibruh.github.io/l4_data_sheets_table_images_mapper/l4_problematic_frames/media/image537.png")</f>
        <v/>
      </c>
      <c r="F139" s="56" t="n"/>
      <c r="G139" s="1" t="inlineStr">
        <is>
          <t>Misoriented Direction of Truck + Missing Truck</t>
        </is>
      </c>
    </row>
    <row r="140" ht="15.75" customHeight="1" thickBot="1">
      <c r="A140" s="59" t="n"/>
      <c r="B140" s="59" t="n"/>
      <c r="C140" s="59" t="n"/>
      <c r="D140" s="59" t="n"/>
      <c r="E140" s="59" t="n"/>
      <c r="F140" s="59" t="n"/>
      <c r="G140" s="59" t="n"/>
    </row>
    <row r="141" ht="29.25" customHeight="1" thickBot="1">
      <c r="A141" s="27" t="inlineStr">
        <is>
          <t>18_2026-03-12_05-44-12</t>
        </is>
      </c>
      <c r="B141" s="7" t="inlineStr">
        <is>
          <t>1773294354604_1773294374505</t>
        </is>
      </c>
      <c r="C141" s="16" t="inlineStr">
        <is>
          <t>1773294359505 - 1773294360305</t>
        </is>
      </c>
      <c r="D141" s="42">
        <f>IMAGE("https://liskibruh.github.io/l4_data_sheets_table_images_mapper/l4_problematic_frames/media/image538.png")</f>
        <v/>
      </c>
      <c r="E141" s="42">
        <f>IMAGE("https://liskibruh.github.io/l4_data_sheets_table_images_mapper/l4_problematic_frames/media/image539.png")</f>
        <v/>
      </c>
      <c r="F141" s="42" t="n"/>
      <c r="G141" s="7" t="inlineStr">
        <is>
          <t>Misoriented Direction of Truck</t>
        </is>
      </c>
    </row>
    <row r="142" ht="29.25" customHeight="1" thickBot="1">
      <c r="A142" s="27" t="inlineStr">
        <is>
          <t>18_2026-03-12_05-44-12</t>
        </is>
      </c>
      <c r="B142" s="7" t="inlineStr">
        <is>
          <t>1773294354604_1773294374505</t>
        </is>
      </c>
      <c r="C142" s="16" t="inlineStr">
        <is>
          <t>1773294363003, 1773294372203</t>
        </is>
      </c>
      <c r="D142" s="42">
        <f>IMAGE("https://liskibruh.github.io/l4_data_sheets_table_images_mapper/l4_problematic_frames/media/image540.png")</f>
        <v/>
      </c>
      <c r="E142" s="42" t="n"/>
      <c r="F142" s="42" t="n"/>
      <c r="G142" s="7" t="inlineStr">
        <is>
          <t>Missing LiDAR Points</t>
        </is>
      </c>
    </row>
    <row r="143" ht="29.25" customHeight="1" thickBot="1">
      <c r="A143" s="27" t="inlineStr">
        <is>
          <t>18_2026-03-12_05-44-12</t>
        </is>
      </c>
      <c r="B143" s="7" t="inlineStr">
        <is>
          <t>1773294354604_1773294374505</t>
        </is>
      </c>
      <c r="C143" s="16" t="inlineStr">
        <is>
          <t>1773294373004, 1773294373905</t>
        </is>
      </c>
      <c r="D143" s="42">
        <f>IMAGE("https://liskibruh.github.io/l4_data_sheets_table_images_mapper/l4_problematic_frames/media/image541.png")</f>
        <v/>
      </c>
      <c r="E143" s="42">
        <f>IMAGE("https://liskibruh.github.io/l4_data_sheets_table_images_mapper/l4_problematic_frames/media/image542.png")</f>
        <v/>
      </c>
      <c r="F143" s="42" t="n"/>
      <c r="G143" s="7" t="inlineStr">
        <is>
          <t>Missing Truck/ Misoriented Direction of Truck</t>
        </is>
      </c>
    </row>
    <row r="144" ht="29.25" customHeight="1" thickBot="1">
      <c r="A144" s="27" t="inlineStr">
        <is>
          <t>18_2026-03-12_05-44-12</t>
        </is>
      </c>
      <c r="B144" s="7" t="inlineStr">
        <is>
          <t>1773294374605_1773294394604</t>
        </is>
      </c>
      <c r="C144" s="16" t="inlineStr">
        <is>
          <t>1773294374605 - 1773294374905</t>
        </is>
      </c>
      <c r="D144" s="42">
        <f>IMAGE("https://liskibruh.github.io/l4_data_sheets_table_images_mapper/l4_problematic_frames/media/image543.png")</f>
        <v/>
      </c>
      <c r="E144" s="42">
        <f>IMAGE("https://liskibruh.github.io/l4_data_sheets_table_images_mapper/l4_problematic_frames/media/image544.png")</f>
        <v/>
      </c>
      <c r="F144" s="42" t="n"/>
      <c r="G144" s="7" t="inlineStr">
        <is>
          <t>False Positive Trucks</t>
        </is>
      </c>
    </row>
    <row r="145" ht="16.5" customHeight="1" thickBot="1">
      <c r="A145" s="27" t="inlineStr">
        <is>
          <t>18_2026-03-12_05-44-12</t>
        </is>
      </c>
      <c r="B145" s="7" t="inlineStr">
        <is>
          <t>1773294374605_1773294394604</t>
        </is>
      </c>
      <c r="C145" s="16" t="n">
        <v>1773294375004</v>
      </c>
      <c r="D145" s="42">
        <f>IMAGE("https://liskibruh.github.io/l4_data_sheets_table_images_mapper/l4_problematic_frames/media/image545.png")</f>
        <v/>
      </c>
      <c r="E145" s="42" t="n"/>
      <c r="F145" s="42" t="n"/>
      <c r="G145" s="7" t="inlineStr">
        <is>
          <t>Missing Truck</t>
        </is>
      </c>
    </row>
    <row r="146" ht="69.75" customHeight="1">
      <c r="A146" s="1" t="inlineStr">
        <is>
          <t>18_2026-03-12_05-44-12</t>
        </is>
      </c>
      <c r="B146" s="1" t="inlineStr">
        <is>
          <t>1773294374605_1773294394604</t>
        </is>
      </c>
      <c r="C146" s="55" t="inlineStr">
        <is>
          <t>1773294375104, 1773294375205, 1773294375305</t>
        </is>
      </c>
      <c r="D146" s="56">
        <f>IMAGE("https://liskibruh.github.io/l4_data_sheets_table_images_mapper/l4_problematic_frames/media/image546.png")</f>
        <v/>
      </c>
      <c r="E146" s="56">
        <f>IMAGE("https://liskibruh.github.io/l4_data_sheets_table_images_mapper/l4_problematic_frames/media/image547.png")</f>
        <v/>
      </c>
      <c r="F146" s="56" t="n"/>
      <c r="G146" s="1" t="inlineStr">
        <is>
          <t>False Positive Trucks/ Missing LiDAR Points</t>
        </is>
      </c>
    </row>
    <row r="147" ht="15.75" customHeight="1" thickBot="1">
      <c r="A147" s="59" t="n"/>
      <c r="B147" s="59" t="n"/>
      <c r="C147" s="59" t="n"/>
      <c r="D147" s="59" t="n"/>
      <c r="E147" s="59" t="n"/>
      <c r="F147" s="59" t="n"/>
      <c r="G147" s="59" t="n"/>
    </row>
    <row r="148" ht="29.25" customHeight="1" thickBot="1">
      <c r="A148" s="27" t="inlineStr">
        <is>
          <t>18_2026-03-12_05-44-12</t>
        </is>
      </c>
      <c r="B148" s="7" t="inlineStr">
        <is>
          <t>1773294374605_1773294394604</t>
        </is>
      </c>
      <c r="C148" s="16" t="inlineStr">
        <is>
          <t>1773294376205 - 1773294377005</t>
        </is>
      </c>
      <c r="D148" s="42">
        <f>IMAGE("https://liskibruh.github.io/l4_data_sheets_table_images_mapper/l4_problematic_frames/media/image548.png")</f>
        <v/>
      </c>
      <c r="E148" s="42">
        <f>IMAGE("https://liskibruh.github.io/l4_data_sheets_table_images_mapper/l4_problematic_frames/media/image549.png")</f>
        <v/>
      </c>
      <c r="F148" s="42" t="n"/>
      <c r="G148" s="7" t="inlineStr">
        <is>
          <t>Missing Truck</t>
        </is>
      </c>
    </row>
    <row r="149" ht="29.25" customHeight="1" thickBot="1">
      <c r="A149" s="27" t="inlineStr">
        <is>
          <t>18_2026-03-12_05-44-12</t>
        </is>
      </c>
      <c r="B149" s="7" t="inlineStr">
        <is>
          <t>1773294374605_1773294394604</t>
        </is>
      </c>
      <c r="C149" s="16" t="inlineStr">
        <is>
          <t>1773294379504, 1773294380604</t>
        </is>
      </c>
      <c r="D149" s="42">
        <f>IMAGE("https://liskibruh.github.io/l4_data_sheets_table_images_mapper/l4_problematic_frames/media/image550.png")</f>
        <v/>
      </c>
      <c r="E149" s="42">
        <f>IMAGE("https://liskibruh.github.io/l4_data_sheets_table_images_mapper/l4_problematic_frames/media/image551.png")</f>
        <v/>
      </c>
      <c r="F149" s="42" t="n"/>
      <c r="G149" s="7" t="inlineStr">
        <is>
          <t>Missing Truck</t>
        </is>
      </c>
    </row>
    <row r="150" ht="29.25" customHeight="1" thickBot="1">
      <c r="A150" s="27" t="inlineStr">
        <is>
          <t>18_2026-03-12_05-44-12</t>
        </is>
      </c>
      <c r="B150" s="7" t="inlineStr">
        <is>
          <t>1773294374605_1773294394604</t>
        </is>
      </c>
      <c r="C150" s="16" t="inlineStr">
        <is>
          <t>1773294390904 - 1773294391704</t>
        </is>
      </c>
      <c r="D150" s="42">
        <f>IMAGE("https://liskibruh.github.io/l4_data_sheets_table_images_mapper/l4_problematic_frames/media/image552.png")</f>
        <v/>
      </c>
      <c r="E150" s="42">
        <f>IMAGE("https://liskibruh.github.io/l4_data_sheets_table_images_mapper/l4_problematic_frames/media/image553.png")</f>
        <v/>
      </c>
      <c r="F150" s="42" t="n"/>
      <c r="G150" s="7" t="inlineStr">
        <is>
          <t>Missing Truck</t>
        </is>
      </c>
    </row>
    <row r="151" ht="16.5" customHeight="1" thickBot="1">
      <c r="A151" s="27" t="inlineStr">
        <is>
          <t>18_2026-03-12_05-44-12</t>
        </is>
      </c>
      <c r="B151" s="7" t="inlineStr">
        <is>
          <t>1773294374605_1773294394604</t>
        </is>
      </c>
      <c r="C151" s="16" t="n">
        <v>1773294394003</v>
      </c>
      <c r="D151" s="42">
        <f>IMAGE("https://liskibruh.github.io/l4_data_sheets_table_images_mapper/l4_problematic_frames/media/image554.png")</f>
        <v/>
      </c>
      <c r="E151" s="42" t="n"/>
      <c r="F151" s="42" t="n"/>
      <c r="G151" s="7" t="inlineStr">
        <is>
          <t>Out of Order Sample</t>
        </is>
      </c>
    </row>
    <row r="152" ht="16.5" customHeight="1" thickBot="1">
      <c r="A152" s="27" t="inlineStr">
        <is>
          <t>18_2026-03-12_05-44-12</t>
        </is>
      </c>
      <c r="B152" s="7" t="inlineStr">
        <is>
          <t>1773294374605_1773294394604</t>
        </is>
      </c>
      <c r="C152" s="16" t="n">
        <v>1773294394503</v>
      </c>
      <c r="D152" s="42">
        <f>IMAGE("https://liskibruh.github.io/l4_data_sheets_table_images_mapper/l4_problematic_frames/media/image555.png")</f>
        <v/>
      </c>
      <c r="E152" s="42" t="n"/>
      <c r="F152" s="42" t="n"/>
      <c r="G152" s="7" t="inlineStr">
        <is>
          <t>Missing LiDAR Points</t>
        </is>
      </c>
    </row>
    <row r="153" ht="57.75" customHeight="1" thickBot="1">
      <c r="A153" s="27" t="inlineStr">
        <is>
          <t>18_2026-03-12_05-44-12</t>
        </is>
      </c>
      <c r="B153" s="7" t="inlineStr">
        <is>
          <t>1773294394704_1773294414604</t>
        </is>
      </c>
      <c r="C153" s="16" t="inlineStr">
        <is>
          <t>1773294394704 - 1773294395404, 1773294398305 - 1773294399105</t>
        </is>
      </c>
      <c r="D153" s="42">
        <f>IMAGE("https://liskibruh.github.io/l4_data_sheets_table_images_mapper/l4_problematic_frames/media/image556.png")</f>
        <v/>
      </c>
      <c r="E153" s="42">
        <f>IMAGE("https://liskibruh.github.io/l4_data_sheets_table_images_mapper/l4_problematic_frames/media/image557.png")</f>
        <v/>
      </c>
      <c r="F153" s="42" t="n"/>
      <c r="G153" s="7" t="inlineStr">
        <is>
          <t>Missing Truck</t>
        </is>
      </c>
    </row>
    <row r="154" ht="29.25" customHeight="1" thickBot="1">
      <c r="A154" s="27" t="inlineStr">
        <is>
          <t>18_2026-03-12_05-44-12</t>
        </is>
      </c>
      <c r="B154" s="7" t="inlineStr">
        <is>
          <t>1773294394704_1773294414604</t>
        </is>
      </c>
      <c r="C154" s="16" t="inlineStr">
        <is>
          <t>1773294399205 - 1773294399904</t>
        </is>
      </c>
      <c r="D154" s="42">
        <f>IMAGE("https://liskibruh.github.io/l4_data_sheets_table_images_mapper/l4_problematic_frames/media/image558.png")</f>
        <v/>
      </c>
      <c r="E154" s="42">
        <f>IMAGE("https://liskibruh.github.io/l4_data_sheets_table_images_mapper/l4_problematic_frames/media/image559.png")</f>
        <v/>
      </c>
      <c r="F154" s="42" t="n"/>
      <c r="G154" s="7" t="inlineStr">
        <is>
          <t>False Positive Static Objects</t>
        </is>
      </c>
    </row>
    <row r="155" ht="98.25" customHeight="1">
      <c r="A155" s="1" t="inlineStr">
        <is>
          <t>18_2026-03-12_05-44-12</t>
        </is>
      </c>
      <c r="B155" s="1" t="inlineStr">
        <is>
          <t>1773294394704_1773294414604</t>
        </is>
      </c>
      <c r="C155" s="55" t="inlineStr">
        <is>
          <t>1773294401905 - 1773294402705, 1773294405604 - 1773294406304</t>
        </is>
      </c>
      <c r="D155" s="56">
        <f>IMAGE("https://liskibruh.github.io/l4_data_sheets_table_images_mapper/l4_problematic_frames/media/image560.png")</f>
        <v/>
      </c>
      <c r="E155" s="56">
        <f>IMAGE("https://liskibruh.github.io/l4_data_sheets_table_images_mapper/l4_problematic_frames/media/image561.png")</f>
        <v/>
      </c>
      <c r="F155" s="56" t="n"/>
      <c r="G155" s="1" t="inlineStr">
        <is>
          <t>Misoriented Direction of Truck</t>
        </is>
      </c>
    </row>
    <row r="156" ht="15.75" customHeight="1" thickBot="1">
      <c r="A156" s="59" t="n"/>
      <c r="B156" s="59" t="n"/>
      <c r="C156" s="59" t="n"/>
      <c r="D156" s="59" t="n"/>
      <c r="E156" s="59" t="n"/>
      <c r="F156" s="59" t="n"/>
      <c r="G156" s="59" t="n"/>
    </row>
    <row r="157" ht="41.25" customHeight="1">
      <c r="A157" s="1" t="inlineStr">
        <is>
          <t>18_2026-03-12_05-44-12</t>
        </is>
      </c>
      <c r="B157" s="1" t="inlineStr">
        <is>
          <t>1773294394704_1773294414604</t>
        </is>
      </c>
      <c r="C157" s="55" t="inlineStr">
        <is>
          <t>1773294408204 - 1773294409204</t>
        </is>
      </c>
      <c r="D157" s="56">
        <f>IMAGE("https://liskibruh.github.io/l4_data_sheets_table_images_mapper/l4_problematic_frames/media/image562.png")</f>
        <v/>
      </c>
      <c r="E157" s="56">
        <f>IMAGE("https://liskibruh.github.io/l4_data_sheets_table_images_mapper/l4_problematic_frames/media/image563.png")</f>
        <v/>
      </c>
      <c r="F157" s="56" t="n"/>
      <c r="G157" s="1" t="inlineStr">
        <is>
          <t>Missing Truck</t>
        </is>
      </c>
    </row>
    <row r="158" ht="15.75" customHeight="1" thickBot="1">
      <c r="A158" s="59" t="n"/>
      <c r="B158" s="59" t="n"/>
      <c r="C158" s="59" t="n"/>
      <c r="D158" s="59" t="n"/>
      <c r="E158" s="59" t="n"/>
      <c r="F158" s="59" t="n"/>
      <c r="G158" s="59" t="n"/>
    </row>
    <row r="159" ht="29.25" customHeight="1" thickBot="1">
      <c r="A159" s="27" t="inlineStr">
        <is>
          <t>18_2026-03-12_05-44-12</t>
        </is>
      </c>
      <c r="B159" s="7" t="inlineStr">
        <is>
          <t>1773294394704_1773294414604</t>
        </is>
      </c>
      <c r="C159" s="16" t="inlineStr">
        <is>
          <t>1773294410205 - 1773294412005</t>
        </is>
      </c>
      <c r="D159" s="42">
        <f>IMAGE("https://liskibruh.github.io/l4_data_sheets_table_images_mapper/l4_problematic_frames/media/image564.png")</f>
        <v/>
      </c>
      <c r="E159" s="42">
        <f>IMAGE("https://liskibruh.github.io/l4_data_sheets_table_images_mapper/l4_problematic_frames/media/image565.png")</f>
        <v/>
      </c>
      <c r="F159" s="42" t="n"/>
      <c r="G159" s="7" t="inlineStr">
        <is>
          <t>Misclassification of Truck as Car</t>
        </is>
      </c>
    </row>
    <row r="160" ht="29.25" customHeight="1" thickBot="1">
      <c r="A160" s="27" t="inlineStr">
        <is>
          <t>18_2026-03-12_05-44-12</t>
        </is>
      </c>
      <c r="B160" s="7" t="inlineStr">
        <is>
          <t>1773294394704_1773294414604</t>
        </is>
      </c>
      <c r="C160" s="16" t="inlineStr">
        <is>
          <t>1773294413703, 1773294414203</t>
        </is>
      </c>
      <c r="D160" s="42">
        <f>IMAGE("https://liskibruh.github.io/l4_data_sheets_table_images_mapper/l4_problematic_frames/media/image566.png")</f>
        <v/>
      </c>
      <c r="E160" s="42" t="n"/>
      <c r="F160" s="42" t="n"/>
      <c r="G160" s="7" t="inlineStr">
        <is>
          <t>Missing LiDAR Points</t>
        </is>
      </c>
    </row>
    <row r="161" ht="16.5" customHeight="1" thickBot="1">
      <c r="A161" s="27" t="inlineStr">
        <is>
          <t>18_2026-03-12_05-44-12</t>
        </is>
      </c>
      <c r="B161" s="7" t="inlineStr">
        <is>
          <t>1773294414805_1773294434605</t>
        </is>
      </c>
      <c r="C161" s="16" t="n">
        <v>1773294417405</v>
      </c>
      <c r="D161" s="42">
        <f>IMAGE("https://liskibruh.github.io/l4_data_sheets_table_images_mapper/l4_problematic_frames/media/image567.png")</f>
        <v/>
      </c>
      <c r="E161" s="42">
        <f>IMAGE("https://liskibruh.github.io/l4_data_sheets_table_images_mapper/l4_problematic_frames/media/image568.png")</f>
        <v/>
      </c>
      <c r="F161" s="42" t="n"/>
      <c r="G161" s="7" t="inlineStr">
        <is>
          <t>Missing Truck</t>
        </is>
      </c>
    </row>
    <row r="162" ht="41.25" customHeight="1">
      <c r="A162" s="1" t="inlineStr">
        <is>
          <t>18_2026-03-12_05-44-12</t>
        </is>
      </c>
      <c r="B162" s="1" t="inlineStr">
        <is>
          <t>1773294414805_1773294434605</t>
        </is>
      </c>
      <c r="C162" s="55" t="inlineStr">
        <is>
          <t>1773294422104 - 1773294423505</t>
        </is>
      </c>
      <c r="D162" s="56">
        <f>IMAGE("https://liskibruh.github.io/l4_data_sheets_table_images_mapper/l4_problematic_frames/media/image569.png")</f>
        <v/>
      </c>
      <c r="E162" s="56">
        <f>IMAGE("https://liskibruh.github.io/l4_data_sheets_table_images_mapper/l4_problematic_frames/media/image570.png")</f>
        <v/>
      </c>
      <c r="F162" s="56" t="n"/>
      <c r="G162" s="1" t="inlineStr">
        <is>
          <t>Missing Car</t>
        </is>
      </c>
    </row>
    <row r="163" ht="15.75" customHeight="1" thickBot="1">
      <c r="A163" s="59" t="n"/>
      <c r="B163" s="59" t="n"/>
      <c r="C163" s="59" t="n"/>
      <c r="D163" s="59" t="n"/>
      <c r="E163" s="59" t="n"/>
      <c r="F163" s="59" t="n"/>
      <c r="G163" s="59" t="n"/>
    </row>
    <row r="164" ht="29.25" customHeight="1" thickBot="1">
      <c r="A164" s="27" t="inlineStr">
        <is>
          <t>18_2026-03-12_05-44-12</t>
        </is>
      </c>
      <c r="B164" s="7" t="inlineStr">
        <is>
          <t>1773294414805_1773294434605</t>
        </is>
      </c>
      <c r="C164" s="16" t="inlineStr">
        <is>
          <t>1773294427404 - 1773294431005</t>
        </is>
      </c>
      <c r="D164" s="42">
        <f>IMAGE("https://liskibruh.github.io/l4_data_sheets_table_images_mapper/l4_problematic_frames/media/image571.png")</f>
        <v/>
      </c>
      <c r="E164" s="42">
        <f>IMAGE("https://liskibruh.github.io/l4_data_sheets_table_images_mapper/l4_problematic_frames/media/image572.png")</f>
        <v/>
      </c>
      <c r="F164" s="42" t="n"/>
      <c r="G164" s="7" t="inlineStr">
        <is>
          <t>Misclassification of Truck as Car + Misoriented Direction of Truck</t>
        </is>
      </c>
    </row>
    <row r="165" ht="29.25" customHeight="1" thickBot="1">
      <c r="A165" s="27" t="inlineStr">
        <is>
          <t>18_2026-03-12_05-44-12</t>
        </is>
      </c>
      <c r="B165" s="7" t="inlineStr">
        <is>
          <t>1773294414805_1773294434605</t>
        </is>
      </c>
      <c r="C165" s="16" t="inlineStr">
        <is>
          <t>1773294431204 - 1773294432604</t>
        </is>
      </c>
      <c r="D165" s="42">
        <f>IMAGE("https://liskibruh.github.io/l4_data_sheets_table_images_mapper/l4_problematic_frames/media/image573.png")</f>
        <v/>
      </c>
      <c r="E165" s="42">
        <f>IMAGE("https://liskibruh.github.io/l4_data_sheets_table_images_mapper/l4_problematic_frames/media/image574.png")</f>
        <v/>
      </c>
      <c r="F165" s="42" t="n"/>
      <c r="G165" s="7" t="inlineStr">
        <is>
          <t>Misoriented Direction of Truck</t>
        </is>
      </c>
    </row>
    <row r="166" ht="29.25" customHeight="1" thickBot="1">
      <c r="A166" s="27" t="inlineStr">
        <is>
          <t>18_2026-03-12_05-44-12</t>
        </is>
      </c>
      <c r="B166" s="7" t="inlineStr">
        <is>
          <t>1773294414805_1773294434605</t>
        </is>
      </c>
      <c r="C166" s="16" t="inlineStr">
        <is>
          <t>1773294432804 - 1773294434605</t>
        </is>
      </c>
      <c r="D166" s="42">
        <f>IMAGE("https://liskibruh.github.io/l4_data_sheets_table_images_mapper/l4_problematic_frames/media/image575.png")</f>
        <v/>
      </c>
      <c r="E166" s="42">
        <f>IMAGE("https://liskibruh.github.io/l4_data_sheets_table_images_mapper/l4_problematic_frames/media/image576.png")</f>
        <v/>
      </c>
      <c r="F166" s="42" t="n"/>
      <c r="G166" s="7" t="inlineStr">
        <is>
          <t>Misclassification of Car as Truck</t>
        </is>
      </c>
    </row>
    <row r="167" ht="29.25" customHeight="1" thickBot="1">
      <c r="A167" s="27" t="inlineStr">
        <is>
          <t>18_2026-03-12_05-44-12</t>
        </is>
      </c>
      <c r="B167" s="7" t="inlineStr">
        <is>
          <t>1773294434805_1773294454605</t>
        </is>
      </c>
      <c r="C167" s="16" t="inlineStr">
        <is>
          <t>1773294434805 - 1773294435904</t>
        </is>
      </c>
      <c r="D167" s="42">
        <f>IMAGE("https://liskibruh.github.io/l4_data_sheets_table_images_mapper/l4_problematic_frames/media/image577.png")</f>
        <v/>
      </c>
      <c r="E167" s="42">
        <f>IMAGE("https://liskibruh.github.io/l4_data_sheets_table_images_mapper/l4_problematic_frames/media/image578.png")</f>
        <v/>
      </c>
      <c r="F167" s="42" t="n"/>
      <c r="G167" s="7" t="inlineStr">
        <is>
          <t>Misoriented Direction of Truck</t>
        </is>
      </c>
    </row>
    <row r="168" ht="29.25" customHeight="1" thickBot="1">
      <c r="A168" s="27" t="inlineStr">
        <is>
          <t>18_2026-03-12_05-44-12</t>
        </is>
      </c>
      <c r="B168" s="7" t="inlineStr">
        <is>
          <t>1773294434805_1773294454605</t>
        </is>
      </c>
      <c r="C168" s="16" t="inlineStr">
        <is>
          <t>1773294438904 - 1773294440204</t>
        </is>
      </c>
      <c r="D168" s="42">
        <f>IMAGE("https://liskibruh.github.io/l4_data_sheets_table_images_mapper/l4_problematic_frames/media/image579.png")</f>
        <v/>
      </c>
      <c r="E168" s="42">
        <f>IMAGE("https://liskibruh.github.io/l4_data_sheets_table_images_mapper/l4_problematic_frames/media/image580.png")</f>
        <v/>
      </c>
      <c r="F168" s="42" t="n"/>
      <c r="G168" s="7" t="inlineStr">
        <is>
          <t>False Positive Truck</t>
        </is>
      </c>
    </row>
    <row r="169" ht="29.25" customHeight="1" thickBot="1">
      <c r="A169" s="27" t="inlineStr">
        <is>
          <t>18_2026-03-12_05-44-12</t>
        </is>
      </c>
      <c r="B169" s="7" t="inlineStr">
        <is>
          <t>1773294434805_1773294454605</t>
        </is>
      </c>
      <c r="C169" s="16" t="inlineStr">
        <is>
          <t>1773294443105 - 1773294444204</t>
        </is>
      </c>
      <c r="D169" s="42">
        <f>IMAGE("https://liskibruh.github.io/l4_data_sheets_table_images_mapper/l4_problematic_frames/media/image581.png")</f>
        <v/>
      </c>
      <c r="E169" s="42">
        <f>IMAGE("https://liskibruh.github.io/l4_data_sheets_table_images_mapper/l4_problematic_frames/media/image582.png")</f>
        <v/>
      </c>
      <c r="F169" s="42" t="n"/>
      <c r="G169" s="7" t="inlineStr">
        <is>
          <t>Misclassification of Truck as Car</t>
        </is>
      </c>
    </row>
    <row r="170" ht="98.25" customHeight="1">
      <c r="A170" s="1" t="inlineStr">
        <is>
          <t>18_2026-03-12_05-44-12</t>
        </is>
      </c>
      <c r="B170" s="1" t="inlineStr">
        <is>
          <t>1773294434805_1773294454605</t>
        </is>
      </c>
      <c r="C170" s="55" t="inlineStr">
        <is>
          <t>1773294448105 - 1773294449405, 1773294450504 - 1773294451504</t>
        </is>
      </c>
      <c r="D170" s="56">
        <f>IMAGE("https://liskibruh.github.io/l4_data_sheets_table_images_mapper/l4_problematic_frames/media/image583.png")</f>
        <v/>
      </c>
      <c r="E170" s="56">
        <f>IMAGE("https://liskibruh.github.io/l4_data_sheets_table_images_mapper/l4_problematic_frames/media/image584.png")</f>
        <v/>
      </c>
      <c r="F170" s="56" t="n"/>
      <c r="G170" s="1" t="inlineStr">
        <is>
          <t>Misoriented Direction of Truck</t>
        </is>
      </c>
    </row>
    <row r="171" ht="15.75" customHeight="1" thickBot="1">
      <c r="A171" s="59" t="n"/>
      <c r="B171" s="59" t="n"/>
      <c r="C171" s="59" t="n"/>
      <c r="D171" s="59" t="n"/>
      <c r="E171" s="59" t="n"/>
      <c r="F171" s="59" t="n"/>
      <c r="G171" s="59" t="n"/>
    </row>
    <row r="172" ht="29.25" customHeight="1" thickBot="1">
      <c r="A172" s="27" t="inlineStr">
        <is>
          <t>18_2026-03-12_05-44-12</t>
        </is>
      </c>
      <c r="B172" s="7" t="inlineStr">
        <is>
          <t>1773294434805_1773294454605</t>
        </is>
      </c>
      <c r="C172" s="16" t="inlineStr">
        <is>
          <t>1773294451604 - 1773294452704</t>
        </is>
      </c>
      <c r="D172" s="42">
        <f>IMAGE("https://liskibruh.github.io/l4_data_sheets_table_images_mapper/l4_problematic_frames/media/image585.png")</f>
        <v/>
      </c>
      <c r="E172" s="42">
        <f>IMAGE("https://liskibruh.github.io/l4_data_sheets_table_images_mapper/l4_problematic_frames/media/image586.png")</f>
        <v/>
      </c>
      <c r="F172" s="42" t="n"/>
      <c r="G172" s="7" t="inlineStr">
        <is>
          <t>Missing Car</t>
        </is>
      </c>
    </row>
  </sheetData>
  <mergeCells count="323">
    <mergeCell ref="A137:A138"/>
    <mergeCell ref="C137:C138"/>
    <mergeCell ref="E155:E156"/>
    <mergeCell ref="E65:E66"/>
    <mergeCell ref="G65:G66"/>
    <mergeCell ref="E157:E158"/>
    <mergeCell ref="B37:B38"/>
    <mergeCell ref="G123:G124"/>
    <mergeCell ref="F13:F14"/>
    <mergeCell ref="F28:F29"/>
    <mergeCell ref="B26:B27"/>
    <mergeCell ref="E13:E14"/>
    <mergeCell ref="G13:G14"/>
    <mergeCell ref="B17:B18"/>
    <mergeCell ref="A45:A46"/>
    <mergeCell ref="B11:B12"/>
    <mergeCell ref="D17:D18"/>
    <mergeCell ref="C45:C46"/>
    <mergeCell ref="D11:D12"/>
    <mergeCell ref="E78:E79"/>
    <mergeCell ref="G78:G79"/>
    <mergeCell ref="F146:F147"/>
    <mergeCell ref="D75:D76"/>
    <mergeCell ref="C47:C48"/>
    <mergeCell ref="F75:F76"/>
    <mergeCell ref="A139:A140"/>
    <mergeCell ref="C139:C140"/>
    <mergeCell ref="G73:G74"/>
    <mergeCell ref="B108:B109"/>
    <mergeCell ref="D37:D38"/>
    <mergeCell ref="A63:A64"/>
    <mergeCell ref="B45:B46"/>
    <mergeCell ref="E106:E107"/>
    <mergeCell ref="G106:G107"/>
    <mergeCell ref="B32:B33"/>
    <mergeCell ref="G155:G156"/>
    <mergeCell ref="E81:E82"/>
    <mergeCell ref="D26:D27"/>
    <mergeCell ref="A92:A93"/>
    <mergeCell ref="D65:D66"/>
    <mergeCell ref="F65:F66"/>
    <mergeCell ref="C22:C23"/>
    <mergeCell ref="G157:G158"/>
    <mergeCell ref="E28:E29"/>
    <mergeCell ref="G28:G29"/>
    <mergeCell ref="E15:E16"/>
    <mergeCell ref="G15:G16"/>
    <mergeCell ref="E30:E31"/>
    <mergeCell ref="G92:G93"/>
    <mergeCell ref="B162:B163"/>
    <mergeCell ref="G30:G31"/>
    <mergeCell ref="D162:D163"/>
    <mergeCell ref="B83:B84"/>
    <mergeCell ref="D83:D84"/>
    <mergeCell ref="F49:F50"/>
    <mergeCell ref="G81:G82"/>
    <mergeCell ref="D157:D158"/>
    <mergeCell ref="B22:B23"/>
    <mergeCell ref="F157:F158"/>
    <mergeCell ref="F78:F79"/>
    <mergeCell ref="F15:F16"/>
    <mergeCell ref="E43:E44"/>
    <mergeCell ref="G43:G44"/>
    <mergeCell ref="B47:B48"/>
    <mergeCell ref="G170:G171"/>
    <mergeCell ref="B96:B97"/>
    <mergeCell ref="D96:D97"/>
    <mergeCell ref="B111:B112"/>
    <mergeCell ref="E34:E35"/>
    <mergeCell ref="D111:D112"/>
    <mergeCell ref="G34:G35"/>
    <mergeCell ref="A108:A109"/>
    <mergeCell ref="D106:D107"/>
    <mergeCell ref="F106:F107"/>
    <mergeCell ref="C67:C68"/>
    <mergeCell ref="A32:A33"/>
    <mergeCell ref="C61:C62"/>
    <mergeCell ref="E61:E62"/>
    <mergeCell ref="A47:A48"/>
    <mergeCell ref="F170:F171"/>
    <mergeCell ref="A96:A97"/>
    <mergeCell ref="C96:C97"/>
    <mergeCell ref="D1:F1"/>
    <mergeCell ref="D22:D23"/>
    <mergeCell ref="B43:B44"/>
    <mergeCell ref="B61:B62"/>
    <mergeCell ref="D61:D62"/>
    <mergeCell ref="A162:A163"/>
    <mergeCell ref="F30:F31"/>
    <mergeCell ref="E49:E50"/>
    <mergeCell ref="F81:F82"/>
    <mergeCell ref="G49:G50"/>
    <mergeCell ref="A22:A23"/>
    <mergeCell ref="E113:E114"/>
    <mergeCell ref="G113:G114"/>
    <mergeCell ref="A116:A117"/>
    <mergeCell ref="C69:C70"/>
    <mergeCell ref="A111:A112"/>
    <mergeCell ref="D34:D35"/>
    <mergeCell ref="F63:F64"/>
    <mergeCell ref="F34:F35"/>
    <mergeCell ref="C111:C112"/>
    <mergeCell ref="D49:D50"/>
    <mergeCell ref="C162:C163"/>
    <mergeCell ref="F2:F3"/>
    <mergeCell ref="B67:B68"/>
    <mergeCell ref="E128:E129"/>
    <mergeCell ref="G128:G129"/>
    <mergeCell ref="E170:E171"/>
    <mergeCell ref="A37:A38"/>
    <mergeCell ref="B69:B70"/>
    <mergeCell ref="G63:G64"/>
    <mergeCell ref="A17:A18"/>
    <mergeCell ref="C17:C18"/>
    <mergeCell ref="A19:A20"/>
    <mergeCell ref="C19:C20"/>
    <mergeCell ref="A43:A44"/>
    <mergeCell ref="E146:E147"/>
    <mergeCell ref="G75:G76"/>
    <mergeCell ref="C83:C84"/>
    <mergeCell ref="E83:E84"/>
    <mergeCell ref="F24:F25"/>
    <mergeCell ref="E123:E124"/>
    <mergeCell ref="C73:C74"/>
    <mergeCell ref="G116:G117"/>
    <mergeCell ref="F8:F9"/>
    <mergeCell ref="F113:F114"/>
    <mergeCell ref="A13:A14"/>
    <mergeCell ref="B146:B147"/>
    <mergeCell ref="C78:C79"/>
    <mergeCell ref="E71:E72"/>
    <mergeCell ref="G71:G72"/>
    <mergeCell ref="B75:B76"/>
    <mergeCell ref="G2:G3"/>
    <mergeCell ref="A67:A68"/>
    <mergeCell ref="D128:D129"/>
    <mergeCell ref="F128:F129"/>
    <mergeCell ref="A69:A70"/>
    <mergeCell ref="A146:A147"/>
    <mergeCell ref="F32:F33"/>
    <mergeCell ref="B19:B20"/>
    <mergeCell ref="D146:D147"/>
    <mergeCell ref="B65:B66"/>
    <mergeCell ref="B123:B124"/>
    <mergeCell ref="D123:D124"/>
    <mergeCell ref="C13:C14"/>
    <mergeCell ref="F123:F124"/>
    <mergeCell ref="A34:A35"/>
    <mergeCell ref="A28:A29"/>
    <mergeCell ref="C28:C29"/>
    <mergeCell ref="A15:A16"/>
    <mergeCell ref="F116:F117"/>
    <mergeCell ref="C15:C16"/>
    <mergeCell ref="A30:A31"/>
    <mergeCell ref="C92:C93"/>
    <mergeCell ref="C30:C31"/>
    <mergeCell ref="E92:E93"/>
    <mergeCell ref="A128:A129"/>
    <mergeCell ref="C128:C129"/>
    <mergeCell ref="E8:E9"/>
    <mergeCell ref="G8:G9"/>
    <mergeCell ref="E73:E74"/>
    <mergeCell ref="C146:C147"/>
    <mergeCell ref="E137:E138"/>
    <mergeCell ref="G137:G138"/>
    <mergeCell ref="B157:B158"/>
    <mergeCell ref="C123:C124"/>
    <mergeCell ref="B13:B14"/>
    <mergeCell ref="D13:D14"/>
    <mergeCell ref="B78:B79"/>
    <mergeCell ref="D78:D79"/>
    <mergeCell ref="G139:G140"/>
    <mergeCell ref="B28:B29"/>
    <mergeCell ref="B15:B16"/>
    <mergeCell ref="D15:D16"/>
    <mergeCell ref="D71:D72"/>
    <mergeCell ref="C43:C44"/>
    <mergeCell ref="F71:F72"/>
    <mergeCell ref="D8:D9"/>
    <mergeCell ref="F37:F38"/>
    <mergeCell ref="D73:D74"/>
    <mergeCell ref="F73:F74"/>
    <mergeCell ref="B106:B107"/>
    <mergeCell ref="B155:B156"/>
    <mergeCell ref="A61:A62"/>
    <mergeCell ref="D155:D156"/>
    <mergeCell ref="B170:B171"/>
    <mergeCell ref="D139:D140"/>
    <mergeCell ref="A65:A66"/>
    <mergeCell ref="C65:C66"/>
    <mergeCell ref="F61:F62"/>
    <mergeCell ref="C32:C33"/>
    <mergeCell ref="E26:E27"/>
    <mergeCell ref="B92:B93"/>
    <mergeCell ref="G26:G27"/>
    <mergeCell ref="B30:B31"/>
    <mergeCell ref="D30:D31"/>
    <mergeCell ref="C34:C35"/>
    <mergeCell ref="A49:A50"/>
    <mergeCell ref="G11:G12"/>
    <mergeCell ref="B81:B82"/>
    <mergeCell ref="C49:C50"/>
    <mergeCell ref="D81:D82"/>
    <mergeCell ref="A11:A12"/>
    <mergeCell ref="F137:F138"/>
    <mergeCell ref="A157:A158"/>
    <mergeCell ref="C113:C114"/>
    <mergeCell ref="A78:A79"/>
    <mergeCell ref="F139:F140"/>
    <mergeCell ref="D170:D171"/>
    <mergeCell ref="E108:E109"/>
    <mergeCell ref="G37:G38"/>
    <mergeCell ref="G108:G109"/>
    <mergeCell ref="B34:B35"/>
    <mergeCell ref="G24:G25"/>
    <mergeCell ref="D28:D29"/>
    <mergeCell ref="B49:B50"/>
    <mergeCell ref="E32:E33"/>
    <mergeCell ref="D92:D93"/>
    <mergeCell ref="F92:F93"/>
    <mergeCell ref="A106:A107"/>
    <mergeCell ref="E139:E140"/>
    <mergeCell ref="C106:C107"/>
    <mergeCell ref="A155:A156"/>
    <mergeCell ref="C155:C156"/>
    <mergeCell ref="A170:A171"/>
    <mergeCell ref="C170:C171"/>
    <mergeCell ref="C157:C158"/>
    <mergeCell ref="E96:E97"/>
    <mergeCell ref="E17:E18"/>
    <mergeCell ref="G17:G18"/>
    <mergeCell ref="E19:E20"/>
    <mergeCell ref="G19:G20"/>
    <mergeCell ref="A75:A76"/>
    <mergeCell ref="C75:C76"/>
    <mergeCell ref="G162:G163"/>
    <mergeCell ref="G83:G84"/>
    <mergeCell ref="B24:B25"/>
    <mergeCell ref="D24:D25"/>
    <mergeCell ref="E45:E46"/>
    <mergeCell ref="A81:A82"/>
    <mergeCell ref="E116:E117"/>
    <mergeCell ref="G45:G46"/>
    <mergeCell ref="C81:C82"/>
    <mergeCell ref="G32:G33"/>
    <mergeCell ref="D19:D20"/>
    <mergeCell ref="F19:F20"/>
    <mergeCell ref="E47:E48"/>
    <mergeCell ref="B113:B114"/>
    <mergeCell ref="G47:G48"/>
    <mergeCell ref="D113:D114"/>
    <mergeCell ref="G96:G97"/>
    <mergeCell ref="E22:E23"/>
    <mergeCell ref="E111:E112"/>
    <mergeCell ref="G111:G112"/>
    <mergeCell ref="D108:D109"/>
    <mergeCell ref="F108:F109"/>
    <mergeCell ref="C63:C64"/>
    <mergeCell ref="E63:E64"/>
    <mergeCell ref="D45:D46"/>
    <mergeCell ref="F45:F46"/>
    <mergeCell ref="A71:A72"/>
    <mergeCell ref="D32:D33"/>
    <mergeCell ref="C71:C72"/>
    <mergeCell ref="F26:F27"/>
    <mergeCell ref="D47:D48"/>
    <mergeCell ref="A113:A114"/>
    <mergeCell ref="A2:A3"/>
    <mergeCell ref="F47:F48"/>
    <mergeCell ref="C2:C3"/>
    <mergeCell ref="E2:E3"/>
    <mergeCell ref="B128:B129"/>
    <mergeCell ref="B63:B64"/>
    <mergeCell ref="G22:G23"/>
    <mergeCell ref="D63:D64"/>
    <mergeCell ref="F162:F163"/>
    <mergeCell ref="F83:F84"/>
    <mergeCell ref="F22:F23"/>
    <mergeCell ref="A26:A27"/>
    <mergeCell ref="B116:B117"/>
    <mergeCell ref="D116:D117"/>
    <mergeCell ref="A8:A9"/>
    <mergeCell ref="C8:C9"/>
    <mergeCell ref="F96:F97"/>
    <mergeCell ref="F111:F112"/>
    <mergeCell ref="F11:F12"/>
    <mergeCell ref="C116:C117"/>
    <mergeCell ref="E67:E68"/>
    <mergeCell ref="G67:G68"/>
    <mergeCell ref="B71:B72"/>
    <mergeCell ref="G61:G62"/>
    <mergeCell ref="B8:B9"/>
    <mergeCell ref="E69:E70"/>
    <mergeCell ref="B2:B3"/>
    <mergeCell ref="G69:G70"/>
    <mergeCell ref="D2:D3"/>
    <mergeCell ref="B73:B74"/>
    <mergeCell ref="F17:F18"/>
    <mergeCell ref="F155:F156"/>
    <mergeCell ref="D43:D44"/>
    <mergeCell ref="F43:F44"/>
    <mergeCell ref="E162:E163"/>
    <mergeCell ref="A83:A84"/>
    <mergeCell ref="A123:A124"/>
    <mergeCell ref="A24:A25"/>
    <mergeCell ref="C26:C27"/>
    <mergeCell ref="C11:C12"/>
    <mergeCell ref="G146:G147"/>
    <mergeCell ref="E11:E12"/>
    <mergeCell ref="B137:B138"/>
    <mergeCell ref="D137:D138"/>
    <mergeCell ref="E75:E76"/>
    <mergeCell ref="B139:B140"/>
    <mergeCell ref="D67:D68"/>
    <mergeCell ref="F67:F68"/>
    <mergeCell ref="C37:C38"/>
    <mergeCell ref="D69:D70"/>
    <mergeCell ref="C108:C109"/>
    <mergeCell ref="E37:E38"/>
    <mergeCell ref="F69:F70"/>
    <mergeCell ref="A73:A74"/>
    <mergeCell ref="C24:C25"/>
    <mergeCell ref="E24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Owais Tahir</dc:creator>
  <dcterms:created xsi:type="dcterms:W3CDTF">2026-04-01T11:51:51Z</dcterms:created>
  <dcterms:modified xsi:type="dcterms:W3CDTF">2026-04-02T21:12:35Z</dcterms:modified>
  <cp:lastModifiedBy>Owais Tahir</cp:lastModifiedBy>
</cp:coreProperties>
</file>