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40" yWindow="640" windowWidth="28040" windowHeight="158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0"/>
      <scheme val="minor"/>
    </font>
  </fonts>
  <fills count="7">
    <fill>
      <patternFill/>
    </fill>
    <fill>
      <patternFill patternType="gray125"/>
    </fill>
    <fill>
      <patternFill patternType="solid">
        <fgColor rgb="FFF2F3F5"/>
      </patternFill>
    </fill>
    <fill>
      <patternFill patternType="solid">
        <fgColor rgb="FFF2F3F5"/>
      </patternFill>
    </fill>
    <fill>
      <patternFill patternType="solid">
        <fgColor rgb="FFF2F3F5"/>
      </patternFill>
    </fill>
    <fill>
      <patternFill patternType="solid">
        <fgColor rgb="FFF2F3F5"/>
      </patternFill>
    </fill>
    <fill>
      <patternFill patternType="solid">
        <fgColor rgb="FFF2F3F5"/>
      </patternFill>
    </fill>
  </fills>
  <borders count="29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/>
      <diagonal/>
    </border>
    <border>
      <left style="medium">
        <color rgb="FFDEE0E3"/>
      </left>
      <right style="medium">
        <color rgb="FFDEE0E3"/>
      </right>
      <top/>
      <bottom/>
      <diagonal/>
    </border>
    <border>
      <left style="medium">
        <color rgb="FFDEE0E3"/>
      </left>
      <right style="medium">
        <color rgb="FFDEE0E3"/>
      </right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/>
      <top style="medium">
        <color rgb="FFDEE0E3"/>
      </top>
      <bottom style="medium">
        <color rgb="FFDEE0E3"/>
      </bottom>
      <diagonal/>
    </border>
    <border>
      <left/>
      <right/>
      <top style="medium">
        <color rgb="FFDEE0E3"/>
      </top>
      <bottom style="medium">
        <color rgb="FFDEE0E3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/>
      <top style="medium">
        <color rgb="FFDEE0E3"/>
      </top>
      <bottom style="medium">
        <color rgb="FFDEE0E3"/>
      </bottom>
      <diagonal/>
    </border>
    <border>
      <left/>
      <right/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/>
      <right/>
      <top style="medium">
        <color rgb="FFDEE0E3"/>
      </top>
      <bottom/>
      <diagonal/>
    </border>
    <border>
      <left/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top" wrapText="1"/>
    </xf>
    <xf numFmtId="0" fontId="1" fillId="0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vertical="top" wrapText="1"/>
    </xf>
    <xf numFmtId="0" fontId="1" fillId="0" borderId="7" applyAlignment="1" pivotButton="0" quotePrefix="0" xfId="0">
      <alignment vertical="center" wrapText="1"/>
    </xf>
    <xf numFmtId="0" fontId="1" fillId="0" borderId="8" applyAlignment="1" pivotButton="0" quotePrefix="0" xfId="0">
      <alignment horizontal="left" vertical="center" wrapText="1"/>
    </xf>
    <xf numFmtId="0" fontId="1" fillId="0" borderId="9" applyAlignment="1" pivotButton="0" quotePrefix="0" xfId="0">
      <alignment vertical="top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1" fillId="0" borderId="16" applyAlignment="1" pivotButton="0" quotePrefix="0" xfId="0">
      <alignment horizontal="center" vertical="center" wrapText="1"/>
    </xf>
    <xf numFmtId="0" fontId="2" fillId="0" borderId="17" applyAlignment="1" pivotButton="0" quotePrefix="0" xfId="0">
      <alignment vertical="top" wrapText="1"/>
    </xf>
    <xf numFmtId="3" fontId="1" fillId="0" borderId="18" applyAlignment="1" pivotButton="0" quotePrefix="0" xfId="0">
      <alignment vertical="center" wrapText="1"/>
    </xf>
    <xf numFmtId="3" fontId="1" fillId="0" borderId="19" applyAlignment="1" pivotButton="0" quotePrefix="0" xfId="0">
      <alignment vertical="center" wrapText="1"/>
    </xf>
    <xf numFmtId="0" fontId="3" fillId="2" borderId="20" applyAlignment="1" pivotButton="0" quotePrefix="0" xfId="0">
      <alignment horizontal="center" vertical="center" wrapText="1"/>
    </xf>
    <xf numFmtId="0" fontId="3" fillId="3" borderId="21" applyAlignment="1" pivotButton="0" quotePrefix="0" xfId="0">
      <alignment horizontal="center" vertical="center" wrapText="1"/>
    </xf>
    <xf numFmtId="0" fontId="1" fillId="4" borderId="22" applyAlignment="1" pivotButton="0" quotePrefix="0" xfId="0">
      <alignment horizontal="left" vertical="center" wrapText="1"/>
    </xf>
    <xf numFmtId="0" fontId="3" fillId="5" borderId="23" applyAlignment="1" pivotButton="0" quotePrefix="0" xfId="0">
      <alignment horizontal="center" vertical="center" wrapText="1"/>
    </xf>
    <xf numFmtId="0" fontId="3" fillId="6" borderId="24" applyAlignment="1" pivotButton="0" quotePrefix="0" xfId="0">
      <alignment horizontal="center" vertical="center" wrapText="1"/>
    </xf>
    <xf numFmtId="0" fontId="2" fillId="0" borderId="25" applyAlignment="1" pivotButton="0" quotePrefix="0" xfId="0">
      <alignment vertical="top" wrapText="1"/>
    </xf>
    <xf numFmtId="0" fontId="0" fillId="0" borderId="0" pivotButton="0" quotePrefix="0" xfId="0"/>
    <xf numFmtId="0" fontId="1" fillId="0" borderId="22" applyAlignment="1" pivotButton="0" quotePrefix="0" xfId="0">
      <alignment vertical="center" wrapText="1"/>
    </xf>
    <xf numFmtId="0" fontId="0" fillId="0" borderId="24" pivotButton="0" quotePrefix="0" xfId="0"/>
    <xf numFmtId="0" fontId="0" fillId="0" borderId="20" pivotButton="0" quotePrefix="0" xfId="0"/>
    <xf numFmtId="0" fontId="1" fillId="0" borderId="22" applyAlignment="1" pivotButton="0" quotePrefix="0" xfId="0">
      <alignment vertical="top" wrapText="1"/>
    </xf>
    <xf numFmtId="0" fontId="1" fillId="0" borderId="22" applyAlignment="1" pivotButton="0" quotePrefix="0" xfId="0">
      <alignment horizontal="left" vertical="center" wrapText="1"/>
    </xf>
    <xf numFmtId="0" fontId="1" fillId="0" borderId="2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17" pivotButton="0" quotePrefix="0" xfId="0"/>
    <xf numFmtId="3" fontId="1" fillId="0" borderId="22" applyAlignment="1" pivotButton="0" quotePrefix="0" xfId="0">
      <alignment vertical="center" wrapText="1"/>
    </xf>
    <xf numFmtId="0" fontId="3" fillId="5" borderId="22" applyAlignment="1" pivotButton="0" quotePrefix="0" xfId="0">
      <alignment horizontal="center" vertical="center" wrapText="1"/>
    </xf>
    <xf numFmtId="0" fontId="1" fillId="0" borderId="18" applyAlignment="1" pivotButton="0" quotePrefix="0" xfId="0">
      <alignment vertical="center" wrapText="1"/>
    </xf>
    <xf numFmtId="0" fontId="1" fillId="0" borderId="1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304"/>
  <sheetViews>
    <sheetView showGridLines="1" tabSelected="1" workbookViewId="0">
      <selection activeCell="B5" sqref="B5"/>
    </sheetView>
  </sheetViews>
  <sheetFormatPr baseColWidth="8" defaultColWidth="14" defaultRowHeight="19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17" customHeight="1" s="26">
      <c r="A1" s="12" t="inlineStr">
        <is>
          <t>Sequence</t>
        </is>
      </c>
      <c r="B1" s="12" t="inlineStr">
        <is>
          <t>Clips</t>
        </is>
      </c>
      <c r="C1" s="12" t="inlineStr">
        <is>
          <t>Frame ID</t>
        </is>
      </c>
      <c r="D1" s="27" t="inlineStr">
        <is>
          <t>Visualizations</t>
        </is>
      </c>
      <c r="E1" s="28" t="n"/>
      <c r="F1" s="29" t="n"/>
      <c r="G1" s="16" t="inlineStr">
        <is>
          <t>Problem</t>
        </is>
      </c>
    </row>
    <row r="2" ht="17" customHeight="1" s="26">
      <c r="A2" s="30" t="n"/>
      <c r="B2" s="30" t="n"/>
      <c r="C2" s="31" t="n">
        <v>1771394907904</v>
      </c>
      <c r="D2" s="32">
        <f>IMAGE("https://liskibruh.github.io/l4_data_sheets_table_images_mapper/l4_problematic_frames/xl/media/image1.png")</f>
        <v/>
      </c>
      <c r="E2" s="30" t="n"/>
      <c r="F2" s="30" t="n"/>
      <c r="G2" s="27" t="inlineStr">
        <is>
          <t>Missing truck</t>
        </is>
      </c>
    </row>
    <row r="3" ht="17" customHeight="1" s="26">
      <c r="A3" s="33" t="n"/>
      <c r="B3" s="33" t="n"/>
      <c r="C3" s="33" t="n"/>
      <c r="D3" s="33" t="n"/>
      <c r="E3" s="33" t="n"/>
      <c r="F3" s="33" t="n"/>
      <c r="G3" s="33" t="n"/>
    </row>
    <row r="4" ht="27" customHeight="1" s="26">
      <c r="A4" s="30" t="n"/>
      <c r="B4" s="30" t="n"/>
      <c r="C4" s="31" t="n">
        <v>1771394923604</v>
      </c>
      <c r="D4" s="32">
        <f>IMAGE("https://liskibruh.github.io/l4_data_sheets_table_images_mapper/l4_problematic_frames/xl/media/image2.png")</f>
        <v/>
      </c>
      <c r="E4" s="30" t="n"/>
      <c r="F4" s="30" t="n"/>
      <c r="G4" s="27" t="inlineStr">
        <is>
          <t>Extra truck (false positive)</t>
        </is>
      </c>
    </row>
    <row r="5" ht="17" customHeight="1" s="26">
      <c r="A5" s="33" t="n"/>
      <c r="B5" s="33" t="n"/>
      <c r="C5" s="33" t="n"/>
      <c r="D5" s="33" t="n"/>
      <c r="E5" s="33" t="n"/>
      <c r="F5" s="33" t="n"/>
      <c r="G5" s="33" t="n"/>
    </row>
    <row r="6" ht="55" customHeight="1" s="26">
      <c r="A6" s="30" t="n"/>
      <c r="B6" s="30" t="n"/>
      <c r="C6" s="31" t="n">
        <v>1771394956905</v>
      </c>
      <c r="D6" s="32">
        <f>IMAGE("https://liskibruh.github.io/l4_data_sheets_table_images_mapper/l4_problematic_frames/xl/media/image3.png")</f>
        <v/>
      </c>
      <c r="E6" s="30" t="n"/>
      <c r="F6" s="30" t="n"/>
      <c r="G6" s="27" t="inlineStr">
        <is>
          <t>Misclassification: truck detected as car</t>
        </is>
      </c>
    </row>
    <row r="7" ht="17" customHeight="1" s="26">
      <c r="A7" s="33" t="n"/>
      <c r="B7" s="33" t="n"/>
      <c r="C7" s="33" t="n"/>
      <c r="D7" s="33" t="n"/>
      <c r="E7" s="33" t="n"/>
      <c r="F7" s="33" t="n"/>
      <c r="G7" s="33" t="n"/>
    </row>
    <row r="8" ht="55" customHeight="1" s="26">
      <c r="A8" s="30" t="n"/>
      <c r="B8" s="30" t="n"/>
      <c r="C8" s="31" t="n">
        <v>1771394986904</v>
      </c>
      <c r="D8" s="32">
        <f>IMAGE("https://liskibruh.github.io/l4_data_sheets_table_images_mapper/l4_problematic_frames/xl/media/image4.png")</f>
        <v/>
      </c>
      <c r="E8" s="30" t="n"/>
      <c r="F8" s="30" t="n"/>
      <c r="G8" s="27" t="inlineStr">
        <is>
          <t>Missing cars + missing static object</t>
        </is>
      </c>
    </row>
    <row r="9" ht="17" customHeight="1" s="26">
      <c r="A9" s="33" t="n"/>
      <c r="B9" s="33" t="n"/>
      <c r="C9" s="33" t="n"/>
      <c r="D9" s="33" t="n"/>
      <c r="E9" s="33" t="n"/>
      <c r="F9" s="33" t="n"/>
      <c r="G9" s="33" t="n"/>
    </row>
    <row r="10" ht="55" customHeight="1" s="26">
      <c r="A10" s="30" t="n"/>
      <c r="B10" s="30" t="n"/>
      <c r="C10" s="31" t="inlineStr">
        <is>
          <t>1771394987404 – 1771394987804</t>
        </is>
      </c>
      <c r="D10" s="32">
        <f>IMAGE("https://liskibruh.github.io/l4_data_sheets_table_images_mapper/l4_problematic_frames/xl/media/image5.png")</f>
        <v/>
      </c>
      <c r="E10" s="32">
        <f>IMAGE("https://liskibruh.github.io/l4_data_sheets_table_images_mapper/l4_problematic_frames/xl/media/image6.png")</f>
        <v/>
      </c>
      <c r="F10" s="30" t="n"/>
      <c r="G10" s="27" t="inlineStr">
        <is>
          <t>Missing cars + missing static object</t>
        </is>
      </c>
    </row>
    <row r="11" ht="17" customHeight="1" s="26">
      <c r="A11" s="33" t="n"/>
      <c r="B11" s="33" t="n"/>
      <c r="C11" s="33" t="n"/>
      <c r="D11" s="33" t="n"/>
      <c r="E11" s="33" t="n"/>
      <c r="F11" s="33" t="n"/>
      <c r="G11" s="33" t="n"/>
    </row>
    <row r="12" ht="27" customHeight="1" s="26">
      <c r="A12" s="30" t="n"/>
      <c r="B12" s="30" t="n"/>
      <c r="C12" s="31" t="n">
        <v>1771394988204</v>
      </c>
      <c r="D12" s="32">
        <f>IMAGE("https://liskibruh.github.io/l4_data_sheets_table_images_mapper/l4_problematic_frames/xl/media/image7.png")</f>
        <v/>
      </c>
      <c r="E12" s="30" t="n"/>
      <c r="F12" s="30" t="n"/>
      <c r="G12" s="27" t="inlineStr">
        <is>
          <t>Missing static object</t>
        </is>
      </c>
    </row>
    <row r="13" ht="17" customHeight="1" s="26">
      <c r="A13" s="33" t="n"/>
      <c r="B13" s="33" t="n"/>
      <c r="C13" s="33" t="n"/>
      <c r="D13" s="33" t="n"/>
      <c r="E13" s="33" t="n"/>
      <c r="F13" s="33" t="n"/>
      <c r="G13" s="33" t="n"/>
    </row>
    <row r="14" ht="55" customHeight="1" s="26">
      <c r="A14" s="30" t="n"/>
      <c r="B14" s="30" t="n"/>
      <c r="C14" s="31" t="inlineStr">
        <is>
          <t>1771394989505 – 1771394990305</t>
        </is>
      </c>
      <c r="D14" s="32">
        <f>IMAGE("https://liskibruh.github.io/l4_data_sheets_table_images_mapper/l4_problematic_frames/xl/media/image8.png")</f>
        <v/>
      </c>
      <c r="E14" s="32">
        <f>IMAGE("https://liskibruh.github.io/l4_data_sheets_table_images_mapper/l4_problematic_frames/xl/media/image9.png")</f>
        <v/>
      </c>
      <c r="F14" s="30" t="n"/>
      <c r="G14" s="27" t="inlineStr">
        <is>
          <t>Missing truck + missing static object</t>
        </is>
      </c>
    </row>
    <row r="15" ht="17" customHeight="1" s="26">
      <c r="A15" s="33" t="n"/>
      <c r="B15" s="33" t="n"/>
      <c r="C15" s="33" t="n"/>
      <c r="D15" s="33" t="n"/>
      <c r="E15" s="33" t="n"/>
      <c r="F15" s="33" t="n"/>
      <c r="G15" s="33" t="n"/>
    </row>
    <row r="16" ht="55" customHeight="1" s="26">
      <c r="A16" s="30" t="n"/>
      <c r="B16" s="30" t="n"/>
      <c r="C16" s="31" t="n">
        <v>1771394990704</v>
      </c>
      <c r="D16" s="32">
        <f>IMAGE("https://liskibruh.github.io/l4_data_sheets_table_images_mapper/l4_problematic_frames/xl/media/image10.png")</f>
        <v/>
      </c>
      <c r="E16" s="30" t="n"/>
      <c r="F16" s="30" t="n"/>
      <c r="G16" s="27" t="inlineStr">
        <is>
          <t>Missing truck + missing static object</t>
        </is>
      </c>
    </row>
    <row r="17" ht="17" customHeight="1" s="26">
      <c r="A17" s="33" t="n"/>
      <c r="B17" s="33" t="n"/>
      <c r="C17" s="33" t="n"/>
      <c r="D17" s="33" t="n"/>
      <c r="E17" s="33" t="n"/>
      <c r="F17" s="33" t="n"/>
      <c r="G17" s="33" t="n"/>
    </row>
    <row r="18" ht="69" customHeight="1" s="26">
      <c r="A18" s="30" t="n"/>
      <c r="B18" s="30" t="n"/>
      <c r="C18" s="31" t="inlineStr">
        <is>
          <t>1771394992704 – 1771394993905</t>
        </is>
      </c>
      <c r="D18" s="32">
        <f>IMAGE("https://liskibruh.github.io/l4_data_sheets_table_images_mapper/l4_problematic_frames/xl/media/image11.png")</f>
        <v/>
      </c>
      <c r="E18" s="32">
        <f>IMAGE("https://liskibruh.github.io/l4_data_sheets_table_images_mapper/l4_problematic_frames/xl/media/image12.png")</f>
        <v/>
      </c>
      <c r="F18" s="30" t="n"/>
      <c r="G18" s="27" t="inlineStr">
        <is>
          <t>Missing truck + missing static object (critical)</t>
        </is>
      </c>
    </row>
    <row r="19" ht="17" customHeight="1" s="26">
      <c r="A19" s="33" t="n"/>
      <c r="B19" s="33" t="n"/>
      <c r="C19" s="33" t="n"/>
      <c r="D19" s="33" t="n"/>
      <c r="E19" s="33" t="n"/>
      <c r="F19" s="33" t="n"/>
      <c r="G19" s="33" t="n"/>
    </row>
    <row r="20" ht="17" customHeight="1" s="26">
      <c r="A20" s="30" t="n"/>
      <c r="B20" s="30" t="n"/>
      <c r="C20" s="31" t="n">
        <v>1771394996304</v>
      </c>
      <c r="D20" s="32">
        <f>IMAGE("https://liskibruh.github.io/l4_data_sheets_table_images_mapper/l4_problematic_frames/xl/media/image13.png")</f>
        <v/>
      </c>
      <c r="E20" s="30" t="n"/>
      <c r="F20" s="30" t="n"/>
      <c r="G20" s="27" t="inlineStr">
        <is>
          <t>Missing truck</t>
        </is>
      </c>
    </row>
    <row r="21" ht="17" customHeight="1" s="26">
      <c r="A21" s="33" t="n"/>
      <c r="B21" s="33" t="n"/>
      <c r="C21" s="33" t="n"/>
      <c r="D21" s="33" t="n"/>
      <c r="E21" s="33" t="n"/>
      <c r="F21" s="33" t="n"/>
      <c r="G21" s="33" t="n"/>
    </row>
    <row r="22" ht="41" customHeight="1" s="26">
      <c r="A22" s="30" t="n"/>
      <c r="B22" s="30" t="n"/>
      <c r="C22" s="31" t="inlineStr">
        <is>
          <t>1771395008205 – 1771395010604</t>
        </is>
      </c>
      <c r="D22" s="32">
        <f>IMAGE("https://liskibruh.github.io/l4_data_sheets_table_images_mapper/l4_problematic_frames/xl/media/image14.png")</f>
        <v/>
      </c>
      <c r="E22" s="32">
        <f>IMAGE("https://liskibruh.github.io/l4_data_sheets_table_images_mapper/l4_problematic_frames/xl/media/image15.png")</f>
        <v/>
      </c>
      <c r="F22" s="30" t="n"/>
      <c r="G22" s="27" t="inlineStr">
        <is>
          <t>Missing truck</t>
        </is>
      </c>
    </row>
    <row r="23" ht="17" customHeight="1" s="26">
      <c r="A23" s="33" t="n"/>
      <c r="B23" s="33" t="n"/>
      <c r="C23" s="33" t="n"/>
      <c r="D23" s="33" t="n"/>
      <c r="E23" s="33" t="n"/>
      <c r="F23" s="33" t="n"/>
      <c r="G23" s="33" t="n"/>
    </row>
    <row r="24" ht="55" customHeight="1" s="26">
      <c r="A24" s="30" t="n"/>
      <c r="B24" s="30" t="n"/>
      <c r="C24" s="31" t="n">
        <v>1771395012205</v>
      </c>
      <c r="D24" s="32">
        <f>IMAGE("https://liskibruh.github.io/l4_data_sheets_table_images_mapper/l4_problematic_frames/xl/media/image16.png")</f>
        <v/>
      </c>
      <c r="E24" s="30" t="n"/>
      <c r="F24" s="30" t="n"/>
      <c r="G24" s="27" t="inlineStr">
        <is>
          <t>Missing truck + missing static object</t>
        </is>
      </c>
    </row>
    <row r="25" ht="17" customHeight="1" s="26">
      <c r="A25" s="33" t="n"/>
      <c r="B25" s="33" t="n"/>
      <c r="C25" s="33" t="n"/>
      <c r="D25" s="33" t="n"/>
      <c r="E25" s="33" t="n"/>
      <c r="F25" s="33" t="n"/>
      <c r="G25" s="33" t="n"/>
    </row>
    <row r="26" ht="17" customHeight="1" s="26">
      <c r="A26" s="30" t="n"/>
      <c r="B26" s="30" t="n"/>
      <c r="C26" s="31" t="n">
        <v>1771395013204</v>
      </c>
      <c r="D26" s="32">
        <f>IMAGE("https://liskibruh.github.io/l4_data_sheets_table_images_mapper/l4_problematic_frames/xl/media/image17.png")</f>
        <v/>
      </c>
      <c r="E26" s="30" t="n"/>
      <c r="F26" s="30" t="n"/>
      <c r="G26" s="27" t="inlineStr">
        <is>
          <t>Missing truck</t>
        </is>
      </c>
    </row>
    <row r="27" ht="17" customHeight="1" s="26">
      <c r="A27" s="33" t="n"/>
      <c r="B27" s="33" t="n"/>
      <c r="C27" s="33" t="n"/>
      <c r="D27" s="33" t="n"/>
      <c r="E27" s="33" t="n"/>
      <c r="F27" s="33" t="n"/>
      <c r="G27" s="33" t="n"/>
    </row>
    <row r="28" ht="41" customHeight="1" s="26">
      <c r="A28" s="30" t="n"/>
      <c r="B28" s="30" t="n"/>
      <c r="C28" s="31" t="inlineStr">
        <is>
          <t>1771395015805 – 1771395016205</t>
        </is>
      </c>
      <c r="D28" s="32">
        <f>IMAGE("https://liskibruh.github.io/l4_data_sheets_table_images_mapper/l4_problematic_frames/xl/media/image18.png")</f>
        <v/>
      </c>
      <c r="E28" s="32">
        <f>IMAGE("https://liskibruh.github.io/l4_data_sheets_table_images_mapper/l4_problematic_frames/xl/media/image19.png")</f>
        <v/>
      </c>
      <c r="F28" s="30" t="n"/>
      <c r="G28" s="27" t="inlineStr">
        <is>
          <t>Missing truck</t>
        </is>
      </c>
    </row>
    <row r="29" ht="17" customHeight="1" s="26">
      <c r="A29" s="33" t="n"/>
      <c r="B29" s="33" t="n"/>
      <c r="C29" s="33" t="n"/>
      <c r="D29" s="33" t="n"/>
      <c r="E29" s="33" t="n"/>
      <c r="F29" s="33" t="n"/>
      <c r="G29" s="33" t="n"/>
    </row>
    <row r="30" ht="41" customHeight="1" s="26">
      <c r="A30" s="30" t="n"/>
      <c r="B30" s="30" t="n"/>
      <c r="C30" s="31" t="inlineStr">
        <is>
          <t>1771395018104 – 1771395018905</t>
        </is>
      </c>
      <c r="D30" s="32">
        <f>IMAGE("https://liskibruh.github.io/l4_data_sheets_table_images_mapper/l4_problematic_frames/xl/media/image20.png")</f>
        <v/>
      </c>
      <c r="E30" s="32">
        <f>IMAGE("https://liskibruh.github.io/l4_data_sheets_table_images_mapper/l4_problematic_frames/xl/media/image21.png")</f>
        <v/>
      </c>
      <c r="F30" s="30" t="n"/>
      <c r="G30" s="27" t="inlineStr">
        <is>
          <t>Missing truck</t>
        </is>
      </c>
    </row>
    <row r="31" ht="17" customHeight="1" s="26">
      <c r="A31" s="33" t="n"/>
      <c r="B31" s="33" t="n"/>
      <c r="C31" s="33" t="n"/>
      <c r="D31" s="33" t="n"/>
      <c r="E31" s="33" t="n"/>
      <c r="F31" s="33" t="n"/>
      <c r="G31" s="33" t="n"/>
    </row>
    <row r="32" ht="27" customHeight="1" s="26">
      <c r="A32" s="30" t="n"/>
      <c r="B32" s="30" t="n"/>
      <c r="C32" s="31" t="n">
        <v>1771395020304</v>
      </c>
      <c r="D32" s="32">
        <f>IMAGE("https://liskibruh.github.io/l4_data_sheets_table_images_mapper/l4_problematic_frames/xl/media/image22.png")</f>
        <v/>
      </c>
      <c r="E32" s="30" t="n"/>
      <c r="F32" s="30" t="n"/>
      <c r="G32" s="27" t="inlineStr">
        <is>
          <t>Missing static object</t>
        </is>
      </c>
    </row>
    <row r="33" ht="17" customHeight="1" s="26">
      <c r="A33" s="33" t="n"/>
      <c r="B33" s="33" t="n"/>
      <c r="C33" s="33" t="n"/>
      <c r="D33" s="33" t="n"/>
      <c r="E33" s="33" t="n"/>
      <c r="F33" s="33" t="n"/>
      <c r="G33" s="33" t="n"/>
    </row>
    <row r="34" ht="41" customHeight="1" s="26">
      <c r="A34" s="30" t="n"/>
      <c r="B34" s="30" t="n"/>
      <c r="C34" s="31" t="inlineStr">
        <is>
          <t>1771395059205 – 1771395059804</t>
        </is>
      </c>
      <c r="D34" s="32">
        <f>IMAGE("https://liskibruh.github.io/l4_data_sheets_table_images_mapper/l4_problematic_frames/xl/media/image23.png")</f>
        <v/>
      </c>
      <c r="E34" s="32">
        <f>IMAGE("https://liskibruh.github.io/l4_data_sheets_table_images_mapper/l4_problematic_frames/xl/media/image24.png")</f>
        <v/>
      </c>
      <c r="F34" s="30" t="n"/>
      <c r="G34" s="27" t="inlineStr">
        <is>
          <t>Missing truck</t>
        </is>
      </c>
    </row>
    <row r="35" ht="17" customHeight="1" s="26">
      <c r="A35" s="33" t="n"/>
      <c r="B35" s="33" t="n"/>
      <c r="C35" s="33" t="n"/>
      <c r="D35" s="33" t="n"/>
      <c r="E35" s="33" t="n"/>
      <c r="F35" s="33" t="n"/>
      <c r="G35" s="33" t="n"/>
    </row>
    <row r="36" ht="17" customHeight="1" s="26">
      <c r="A36" s="30" t="n"/>
      <c r="B36" s="30" t="n"/>
      <c r="C36" s="31" t="n">
        <v>1771395060205</v>
      </c>
      <c r="D36" s="32">
        <f>IMAGE("https://liskibruh.github.io/l4_data_sheets_table_images_mapper/l4_problematic_frames/xl/media/image25.png")</f>
        <v/>
      </c>
      <c r="E36" s="30" t="n"/>
      <c r="F36" s="30" t="n"/>
      <c r="G36" s="27" t="inlineStr">
        <is>
          <t>Missing car</t>
        </is>
      </c>
    </row>
    <row r="37" ht="17" customHeight="1" s="26">
      <c r="A37" s="33" t="n"/>
      <c r="B37" s="33" t="n"/>
      <c r="C37" s="33" t="n"/>
      <c r="D37" s="33" t="n"/>
      <c r="E37" s="33" t="n"/>
      <c r="F37" s="33" t="n"/>
      <c r="G37" s="33" t="n"/>
    </row>
    <row r="38" ht="17" customHeight="1" s="26">
      <c r="A38" s="30" t="n"/>
      <c r="B38" s="30" t="n"/>
      <c r="C38" s="31" t="n">
        <v>1771395061504</v>
      </c>
      <c r="D38" s="32">
        <f>IMAGE("https://liskibruh.github.io/l4_data_sheets_table_images_mapper/l4_problematic_frames/xl/media/image26.png")</f>
        <v/>
      </c>
      <c r="E38" s="30" t="n"/>
      <c r="F38" s="30" t="n"/>
      <c r="G38" s="27" t="inlineStr">
        <is>
          <t>Missing car</t>
        </is>
      </c>
    </row>
    <row r="39" ht="17" customHeight="1" s="26">
      <c r="A39" s="33" t="n"/>
      <c r="B39" s="33" t="n"/>
      <c r="C39" s="33" t="n"/>
      <c r="D39" s="33" t="n"/>
      <c r="E39" s="33" t="n"/>
      <c r="F39" s="33" t="n"/>
      <c r="G39" s="33" t="n"/>
    </row>
    <row r="40" ht="17" customHeight="1" s="26">
      <c r="A40" s="30" t="n"/>
      <c r="B40" s="30" t="n"/>
      <c r="C40" s="31" t="n">
        <v>1771395065905</v>
      </c>
      <c r="D40" s="32">
        <f>IMAGE("https://liskibruh.github.io/l4_data_sheets_table_images_mapper/l4_problematic_frames/xl/media/image27.png")</f>
        <v/>
      </c>
      <c r="E40" s="30" t="n"/>
      <c r="F40" s="30" t="n"/>
      <c r="G40" s="27" t="inlineStr">
        <is>
          <t>Missing truck</t>
        </is>
      </c>
    </row>
    <row r="41" ht="17" customHeight="1" s="26">
      <c r="A41" s="33" t="n"/>
      <c r="B41" s="33" t="n"/>
      <c r="C41" s="33" t="n"/>
      <c r="D41" s="33" t="n"/>
      <c r="E41" s="33" t="n"/>
      <c r="F41" s="33" t="n"/>
      <c r="G41" s="33" t="n"/>
    </row>
    <row r="42" ht="17" customHeight="1" s="26">
      <c r="A42" s="30" t="n"/>
      <c r="B42" s="30" t="n"/>
      <c r="C42" s="31" t="n">
        <v>1771395068304</v>
      </c>
      <c r="D42" s="32">
        <f>IMAGE("https://liskibruh.github.io/l4_data_sheets_table_images_mapper/l4_problematic_frames/xl/media/image28.png")</f>
        <v/>
      </c>
      <c r="E42" s="30" t="n"/>
      <c r="F42" s="30" t="n"/>
      <c r="G42" s="27" t="inlineStr">
        <is>
          <t>Missing truck</t>
        </is>
      </c>
    </row>
    <row r="43" ht="17" customHeight="1" s="26">
      <c r="A43" s="33" t="n"/>
      <c r="B43" s="33" t="n"/>
      <c r="C43" s="33" t="n"/>
      <c r="D43" s="33" t="n"/>
      <c r="E43" s="33" t="n"/>
      <c r="F43" s="33" t="n"/>
      <c r="G43" s="33" t="n"/>
    </row>
    <row r="44" ht="55" customHeight="1" s="26">
      <c r="A44" s="30" t="n"/>
      <c r="B44" s="30" t="n"/>
      <c r="C44" s="31" t="inlineStr">
        <is>
          <t>1771395089704 – 1771395104704</t>
        </is>
      </c>
      <c r="D44" s="32">
        <f>IMAGE("https://liskibruh.github.io/l4_data_sheets_table_images_mapper/l4_problematic_frames/xl/media/image29.png")</f>
        <v/>
      </c>
      <c r="E44" s="32">
        <f>IMAGE("https://liskibruh.github.io/l4_data_sheets_table_images_mapper/l4_problematic_frames/xl/media/image30.png")</f>
        <v/>
      </c>
      <c r="F44" s="30" t="n"/>
      <c r="G44" s="27" t="inlineStr">
        <is>
          <t>Inconsistent detections across range</t>
        </is>
      </c>
    </row>
    <row r="45" ht="17" customHeight="1" s="26">
      <c r="A45" s="33" t="n"/>
      <c r="B45" s="33" t="n"/>
      <c r="C45" s="33" t="n"/>
      <c r="D45" s="33" t="n"/>
      <c r="E45" s="33" t="n"/>
      <c r="F45" s="33" t="n"/>
      <c r="G45" s="33" t="n"/>
    </row>
    <row r="46" ht="55" customHeight="1" s="26">
      <c r="A46" s="30" t="n"/>
      <c r="B46" s="30" t="n"/>
      <c r="C46" s="31" t="inlineStr">
        <is>
          <t>1771395134504 – 1771395141404</t>
        </is>
      </c>
      <c r="D46" s="32">
        <f>IMAGE("https://liskibruh.github.io/l4_data_sheets_table_images_mapper/l4_problematic_frames/xl/media/image31.png")</f>
        <v/>
      </c>
      <c r="E46" s="32">
        <f>IMAGE("https://liskibruh.github.io/l4_data_sheets_table_images_mapper/l4_problematic_frames/xl/media/image32.png")</f>
        <v/>
      </c>
      <c r="F46" s="30" t="n"/>
      <c r="G46" s="27" t="inlineStr">
        <is>
          <t>Missing truck (sustained across range)</t>
        </is>
      </c>
    </row>
    <row r="47" ht="17" customHeight="1" s="26">
      <c r="A47" s="33" t="n"/>
      <c r="B47" s="33" t="n"/>
      <c r="C47" s="33" t="n"/>
      <c r="D47" s="33" t="n"/>
      <c r="E47" s="33" t="n"/>
      <c r="F47" s="33" t="n"/>
      <c r="G47" s="33" t="n"/>
    </row>
    <row r="48" ht="69" customHeight="1" s="26">
      <c r="A48" s="30" t="n"/>
      <c r="B48" s="30" t="n"/>
      <c r="C48" s="31" t="inlineStr">
        <is>
          <t>1771578050105 – 1771578052404</t>
        </is>
      </c>
      <c r="D48" s="32">
        <f>IMAGE("https://liskibruh.github.io/l4_data_sheets_table_images_mapper/l4_problematic_frames/xl/media/image33.png")</f>
        <v/>
      </c>
      <c r="E48" s="32">
        <f>IMAGE("https://liskibruh.github.io/l4_data_sheets_table_images_mapper/l4_problematic_frames/xl/media/image34.png")</f>
        <v/>
      </c>
      <c r="F48" s="30" t="n"/>
      <c r="G48" s="27" t="inlineStr">
        <is>
          <t>Misclassification: static object detected as truck</t>
        </is>
      </c>
    </row>
    <row r="49" ht="17" customHeight="1" s="26">
      <c r="A49" s="33" t="n"/>
      <c r="B49" s="33" t="n"/>
      <c r="C49" s="33" t="n"/>
      <c r="D49" s="33" t="n"/>
      <c r="E49" s="33" t="n"/>
      <c r="F49" s="33" t="n"/>
      <c r="G49" s="33" t="n"/>
    </row>
    <row r="50" ht="69" customHeight="1" s="26">
      <c r="A50" s="30" t="n"/>
      <c r="B50" s="30" t="n"/>
      <c r="C50" s="31" t="n">
        <v>1771578057905</v>
      </c>
      <c r="D50" s="32">
        <f>IMAGE("https://liskibruh.github.io/l4_data_sheets_table_images_mapper/l4_problematic_frames/xl/media/image35.png")</f>
        <v/>
      </c>
      <c r="E50" s="30" t="n"/>
      <c r="F50" s="30" t="n"/>
      <c r="G50" s="27" t="inlineStr">
        <is>
          <t>Misclassification: static object detected as truck</t>
        </is>
      </c>
    </row>
    <row r="51" ht="17" customHeight="1" s="26">
      <c r="A51" s="33" t="n"/>
      <c r="B51" s="33" t="n"/>
      <c r="C51" s="33" t="n"/>
      <c r="D51" s="33" t="n"/>
      <c r="E51" s="33" t="n"/>
      <c r="F51" s="33" t="n"/>
      <c r="G51" s="33" t="n"/>
    </row>
    <row r="52" ht="84" customHeight="1" s="26">
      <c r="A52" s="30" t="n"/>
      <c r="B52" s="30" t="n"/>
      <c r="C52" s="31" t="inlineStr">
        <is>
          <t>1771578060905 – 1771578067704</t>
        </is>
      </c>
      <c r="D52" s="32">
        <f>IMAGE("https://liskibruh.github.io/l4_data_sheets_table_images_mapper/l4_problematic_frames/xl/media/image36.png")</f>
        <v/>
      </c>
      <c r="E52" s="32">
        <f>IMAGE("https://liskibruh.github.io/l4_data_sheets_table_images_mapper/l4_problematic_frames/xl/media/image37.png")</f>
        <v/>
      </c>
      <c r="F52" s="30" t="n"/>
      <c r="G52" s="27" t="inlineStr">
        <is>
          <t>Missed truck + misclassification of static object as truck</t>
        </is>
      </c>
    </row>
    <row r="53" ht="17" customHeight="1" s="26">
      <c r="A53" s="33" t="n"/>
      <c r="B53" s="33" t="n"/>
      <c r="C53" s="33" t="n"/>
      <c r="D53" s="33" t="n"/>
      <c r="E53" s="33" t="n"/>
      <c r="F53" s="33" t="n"/>
      <c r="G53" s="33" t="n"/>
    </row>
    <row r="54" ht="27" customHeight="1" s="26">
      <c r="A54" s="30" t="n"/>
      <c r="B54" s="30" t="n"/>
      <c r="C54" s="31" t="n">
        <v>1771578123004</v>
      </c>
      <c r="D54" s="32">
        <f>IMAGE("https://liskibruh.github.io/l4_data_sheets_table_images_mapper/l4_problematic_frames/xl/media/image38.png")</f>
        <v/>
      </c>
      <c r="E54" s="30" t="n"/>
      <c r="F54" s="30" t="n"/>
      <c r="G54" s="27" t="inlineStr">
        <is>
          <t>Missed static objects</t>
        </is>
      </c>
    </row>
    <row r="55" ht="17" customHeight="1" s="26">
      <c r="A55" s="33" t="n"/>
      <c r="B55" s="33" t="n"/>
      <c r="C55" s="33" t="n"/>
      <c r="D55" s="33" t="n"/>
      <c r="E55" s="33" t="n"/>
      <c r="F55" s="33" t="n"/>
      <c r="G55" s="33" t="n"/>
    </row>
    <row r="56" ht="41" customHeight="1" s="26">
      <c r="A56" s="30" t="n"/>
      <c r="B56" s="30" t="n"/>
      <c r="C56" s="31" t="inlineStr">
        <is>
          <t>1771578123404 – 1771578123805</t>
        </is>
      </c>
      <c r="D56" s="32">
        <f>IMAGE("https://liskibruh.github.io/l4_data_sheets_table_images_mapper/l4_problematic_frames/xl/media/image39.png")</f>
        <v/>
      </c>
      <c r="E56" s="32">
        <f>IMAGE("https://liskibruh.github.io/l4_data_sheets_table_images_mapper/l4_problematic_frames/xl/media/image40.png")</f>
        <v/>
      </c>
      <c r="F56" s="30" t="n"/>
      <c r="G56" s="27" t="inlineStr">
        <is>
          <t>Missed trucks</t>
        </is>
      </c>
    </row>
    <row r="57" ht="17" customHeight="1" s="26">
      <c r="A57" s="33" t="n"/>
      <c r="B57" s="33" t="n"/>
      <c r="C57" s="33" t="n"/>
      <c r="D57" s="33" t="n"/>
      <c r="E57" s="33" t="n"/>
      <c r="F57" s="33" t="n"/>
      <c r="G57" s="33" t="n"/>
    </row>
    <row r="58" ht="41" customHeight="1" s="26">
      <c r="A58" s="30" t="n"/>
      <c r="B58" s="30" t="n"/>
      <c r="C58" s="31" t="inlineStr">
        <is>
          <t>1771578126204 – 1771578127504</t>
        </is>
      </c>
      <c r="D58" s="32">
        <f>IMAGE("https://liskibruh.github.io/l4_data_sheets_table_images_mapper/l4_problematic_frames/xl/media/image41.png")</f>
        <v/>
      </c>
      <c r="E58" s="32">
        <f>IMAGE("https://liskibruh.github.io/l4_data_sheets_table_images_mapper/l4_problematic_frames/xl/media/image42.png")</f>
        <v/>
      </c>
      <c r="F58" s="30" t="n"/>
      <c r="G58" s="27" t="inlineStr">
        <is>
          <t>Missed static objects</t>
        </is>
      </c>
    </row>
    <row r="59" ht="17" customHeight="1" s="26">
      <c r="A59" s="33" t="n"/>
      <c r="B59" s="33" t="n"/>
      <c r="C59" s="33" t="n"/>
      <c r="D59" s="33" t="n"/>
      <c r="E59" s="33" t="n"/>
      <c r="F59" s="33" t="n"/>
      <c r="G59" s="33" t="n"/>
    </row>
    <row r="60" ht="41" customHeight="1" s="26">
      <c r="A60" s="30" t="n"/>
      <c r="B60" s="30" t="n"/>
      <c r="C60" s="31" t="inlineStr">
        <is>
          <t>1771578131704 – 1771578132605</t>
        </is>
      </c>
      <c r="D60" s="32">
        <f>IMAGE("https://liskibruh.github.io/l4_data_sheets_table_images_mapper/l4_problematic_frames/xl/media/image43.png")</f>
        <v/>
      </c>
      <c r="E60" s="32">
        <f>IMAGE("https://liskibruh.github.io/l4_data_sheets_table_images_mapper/l4_problematic_frames/xl/media/image44.png")</f>
        <v/>
      </c>
      <c r="F60" s="30" t="n"/>
      <c r="G60" s="27" t="inlineStr">
        <is>
          <t>Missed static objects (range)</t>
        </is>
      </c>
    </row>
    <row r="61" ht="17" customHeight="1" s="26">
      <c r="A61" s="33" t="n"/>
      <c r="B61" s="33" t="n"/>
      <c r="C61" s="33" t="n"/>
      <c r="D61" s="33" t="n"/>
      <c r="E61" s="33" t="n"/>
      <c r="F61" s="33" t="n"/>
      <c r="G61" s="33" t="n"/>
    </row>
    <row r="62" ht="27" customHeight="1" s="26">
      <c r="A62" s="30" t="n"/>
      <c r="B62" s="30" t="n"/>
      <c r="C62" s="31" t="n">
        <v>1771578135604</v>
      </c>
      <c r="D62" s="32">
        <f>IMAGE("https://liskibruh.github.io/l4_data_sheets_table_images_mapper/l4_problematic_frames/xl/media/image45.png")</f>
        <v/>
      </c>
      <c r="E62" s="30" t="n"/>
      <c r="F62" s="30" t="n"/>
      <c r="G62" s="27" t="inlineStr">
        <is>
          <t>Missed static objects</t>
        </is>
      </c>
    </row>
    <row r="63" ht="17" customHeight="1" s="26">
      <c r="A63" s="33" t="n"/>
      <c r="B63" s="33" t="n"/>
      <c r="C63" s="33" t="n"/>
      <c r="D63" s="33" t="n"/>
      <c r="E63" s="33" t="n"/>
      <c r="F63" s="33" t="n"/>
      <c r="G63" s="33" t="n"/>
    </row>
    <row r="64" ht="27" customHeight="1" s="26">
      <c r="A64" s="30" t="n"/>
      <c r="B64" s="30" t="n"/>
      <c r="C64" s="31" t="n">
        <v>1771578137305</v>
      </c>
      <c r="D64" s="32">
        <f>IMAGE("https://liskibruh.github.io/l4_data_sheets_table_images_mapper/l4_problematic_frames/xl/media/image46.png")</f>
        <v/>
      </c>
      <c r="E64" s="30" t="n"/>
      <c r="F64" s="30" t="n"/>
      <c r="G64" s="27" t="inlineStr">
        <is>
          <t>Missed static objects</t>
        </is>
      </c>
    </row>
    <row r="65" ht="17" customHeight="1" s="26">
      <c r="A65" s="33" t="n"/>
      <c r="B65" s="33" t="n"/>
      <c r="C65" s="33" t="n"/>
      <c r="D65" s="33" t="n"/>
      <c r="E65" s="33" t="n"/>
      <c r="F65" s="33" t="n"/>
      <c r="G65" s="33" t="n"/>
    </row>
    <row r="66" ht="27" customHeight="1" s="26">
      <c r="A66" s="30" t="n"/>
      <c r="B66" s="30" t="n"/>
      <c r="C66" s="31" t="n">
        <v>1771578138405</v>
      </c>
      <c r="D66" s="32">
        <f>IMAGE("https://liskibruh.github.io/l4_data_sheets_table_images_mapper/l4_problematic_frames/xl/media/image47.png")</f>
        <v/>
      </c>
      <c r="E66" s="30" t="n"/>
      <c r="F66" s="30" t="n"/>
      <c r="G66" s="27" t="inlineStr">
        <is>
          <t>Missed static objects</t>
        </is>
      </c>
    </row>
    <row r="67" ht="17" customHeight="1" s="26">
      <c r="A67" s="33" t="n"/>
      <c r="B67" s="33" t="n"/>
      <c r="C67" s="33" t="n"/>
      <c r="D67" s="33" t="n"/>
      <c r="E67" s="33" t="n"/>
      <c r="F67" s="33" t="n"/>
      <c r="G67" s="33" t="n"/>
    </row>
    <row r="68" ht="17" customHeight="1" s="26">
      <c r="A68" s="30" t="n"/>
      <c r="B68" s="30" t="n"/>
      <c r="C68" s="31" t="n">
        <v>1771578144304</v>
      </c>
      <c r="D68" s="32">
        <f>IMAGE("https://liskibruh.github.io/l4_data_sheets_table_images_mapper/l4_problematic_frames/xl/media/image48.png")</f>
        <v/>
      </c>
      <c r="E68" s="30" t="n"/>
      <c r="F68" s="30" t="n"/>
      <c r="G68" s="27" t="inlineStr">
        <is>
          <t>Missed trucks</t>
        </is>
      </c>
    </row>
    <row r="69" ht="17" customHeight="1" s="26">
      <c r="A69" s="33" t="n"/>
      <c r="B69" s="33" t="n"/>
      <c r="C69" s="33" t="n"/>
      <c r="D69" s="33" t="n"/>
      <c r="E69" s="33" t="n"/>
      <c r="F69" s="33" t="n"/>
      <c r="G69" s="33" t="n"/>
    </row>
    <row r="70" ht="41" customHeight="1" s="26">
      <c r="A70" s="30" t="n"/>
      <c r="B70" s="30" t="n"/>
      <c r="C70" s="31" t="inlineStr">
        <is>
          <t>1771578145204 – 1771578146705</t>
        </is>
      </c>
      <c r="D70" s="32">
        <f>IMAGE("https://liskibruh.github.io/l4_data_sheets_table_images_mapper/l4_problematic_frames/xl/media/image49.png")</f>
        <v/>
      </c>
      <c r="E70" s="32">
        <f>IMAGE("https://liskibruh.github.io/l4_data_sheets_table_images_mapper/l4_problematic_frames/xl/media/image50.png")</f>
        <v/>
      </c>
      <c r="F70" s="30" t="n"/>
      <c r="G70" s="27" t="inlineStr">
        <is>
          <t>Missed trucks (range)</t>
        </is>
      </c>
    </row>
    <row r="71" ht="17" customHeight="1" s="26">
      <c r="A71" s="33" t="n"/>
      <c r="B71" s="33" t="n"/>
      <c r="C71" s="33" t="n"/>
      <c r="D71" s="33" t="n"/>
      <c r="E71" s="33" t="n"/>
      <c r="F71" s="33" t="n"/>
      <c r="G71" s="33" t="n"/>
    </row>
    <row r="72" ht="55" customHeight="1" s="26">
      <c r="A72" s="30" t="n"/>
      <c r="B72" s="30" t="n"/>
      <c r="C72" s="31" t="inlineStr">
        <is>
          <t>1771578163304 – 1771578164305</t>
        </is>
      </c>
      <c r="D72" s="32">
        <f>IMAGE("https://liskibruh.github.io/l4_data_sheets_table_images_mapper/l4_problematic_frames/xl/media/image51.png")</f>
        <v/>
      </c>
      <c r="E72" s="32">
        <f>IMAGE("https://liskibruh.github.io/l4_data_sheets_table_images_mapper/l4_problematic_frames/xl/media/image52.png")</f>
        <v/>
      </c>
      <c r="F72" s="30" t="n"/>
      <c r="G72" s="27" t="inlineStr">
        <is>
          <t>Misclassification: truck detected as car</t>
        </is>
      </c>
    </row>
    <row r="73" ht="17" customHeight="1" s="26">
      <c r="A73" s="33" t="n"/>
      <c r="B73" s="33" t="n"/>
      <c r="C73" s="33" t="n"/>
      <c r="D73" s="33" t="n"/>
      <c r="E73" s="33" t="n"/>
      <c r="F73" s="33" t="n"/>
      <c r="G73" s="33" t="n"/>
    </row>
    <row r="74" ht="41" customHeight="1" s="26">
      <c r="A74" s="30" t="n"/>
      <c r="B74" s="30" t="n"/>
      <c r="C74" s="31" t="inlineStr">
        <is>
          <t>1771578205305 – 1771578209904</t>
        </is>
      </c>
      <c r="D74" s="32">
        <f>IMAGE("https://liskibruh.github.io/l4_data_sheets_table_images_mapper/l4_problematic_frames/xl/media/image53.png")</f>
        <v/>
      </c>
      <c r="E74" s="32">
        <f>IMAGE("https://liskibruh.github.io/l4_data_sheets_table_images_mapper/l4_problematic_frames/xl/media/image54.png")</f>
        <v/>
      </c>
      <c r="F74" s="30" t="n"/>
      <c r="G74" s="27" t="inlineStr">
        <is>
          <t>Missed static objects</t>
        </is>
      </c>
    </row>
    <row r="75" ht="17" customHeight="1" s="26">
      <c r="A75" s="33" t="n"/>
      <c r="B75" s="33" t="n"/>
      <c r="C75" s="33" t="n"/>
      <c r="D75" s="33" t="n"/>
      <c r="E75" s="33" t="n"/>
      <c r="F75" s="33" t="n"/>
      <c r="G75" s="33" t="n"/>
    </row>
    <row r="76" ht="41" customHeight="1" s="26">
      <c r="A76" s="30" t="n"/>
      <c r="B76" s="30" t="n"/>
      <c r="C76" s="31" t="inlineStr">
        <is>
          <t>1771578212405 – 1771578212905</t>
        </is>
      </c>
      <c r="D76" s="32">
        <f>IMAGE("https://liskibruh.github.io/l4_data_sheets_table_images_mapper/l4_problematic_frames/xl/media/image55.png")</f>
        <v/>
      </c>
      <c r="E76" s="32">
        <f>IMAGE("https://liskibruh.github.io/l4_data_sheets_table_images_mapper/l4_problematic_frames/xl/media/image56.png")</f>
        <v/>
      </c>
      <c r="F76" s="30" t="n"/>
      <c r="G76" s="27" t="inlineStr">
        <is>
          <t>Missed truck</t>
        </is>
      </c>
    </row>
    <row r="77" ht="17" customHeight="1" s="26">
      <c r="A77" s="33" t="n"/>
      <c r="B77" s="33" t="n"/>
      <c r="C77" s="33" t="n"/>
      <c r="D77" s="33" t="n"/>
      <c r="E77" s="33" t="n"/>
      <c r="F77" s="33" t="n"/>
      <c r="G77" s="33" t="n"/>
    </row>
    <row r="78" ht="41" customHeight="1" s="26">
      <c r="A78" s="30" t="n"/>
      <c r="B78" s="30" t="n"/>
      <c r="C78" s="31" t="inlineStr">
        <is>
          <t>1771578214804 – 1771578217305</t>
        </is>
      </c>
      <c r="D78" s="32">
        <f>IMAGE("https://liskibruh.github.io/l4_data_sheets_table_images_mapper/l4_problematic_frames/xl/media/image57.png")</f>
        <v/>
      </c>
      <c r="E78" s="32">
        <f>IMAGE("https://liskibruh.github.io/l4_data_sheets_table_images_mapper/l4_problematic_frames/xl/media/image58.png")</f>
        <v/>
      </c>
      <c r="F78" s="30" t="n"/>
      <c r="G78" s="27" t="inlineStr">
        <is>
          <t>Missed static object</t>
        </is>
      </c>
    </row>
    <row r="79" ht="17" customHeight="1" s="26">
      <c r="A79" s="33" t="n"/>
      <c r="B79" s="33" t="n"/>
      <c r="C79" s="33" t="n"/>
      <c r="D79" s="33" t="n"/>
      <c r="E79" s="33" t="n"/>
      <c r="F79" s="33" t="n"/>
      <c r="G79" s="33" t="n"/>
    </row>
    <row r="80" ht="27" customHeight="1" s="26">
      <c r="A80" s="30" t="n"/>
      <c r="B80" s="30" t="n"/>
      <c r="C80" s="31" t="n">
        <v>1771578234004</v>
      </c>
      <c r="D80" s="32">
        <f>IMAGE("https://liskibruh.github.io/l4_data_sheets_table_images_mapper/l4_problematic_frames/xl/media/image59.png")</f>
        <v/>
      </c>
      <c r="E80" s="30" t="n"/>
      <c r="F80" s="30" t="n"/>
      <c r="G80" s="27" t="inlineStr">
        <is>
          <t>Missed static object</t>
        </is>
      </c>
    </row>
    <row r="81" ht="17" customHeight="1" s="26">
      <c r="A81" s="33" t="n"/>
      <c r="B81" s="33" t="n"/>
      <c r="C81" s="33" t="n"/>
      <c r="D81" s="33" t="n"/>
      <c r="E81" s="33" t="n"/>
      <c r="F81" s="33" t="n"/>
      <c r="G81" s="33" t="n"/>
    </row>
    <row r="82" ht="41" customHeight="1" s="26">
      <c r="A82" s="30" t="n"/>
      <c r="B82" s="30" t="n"/>
      <c r="C82" s="31" t="inlineStr">
        <is>
          <t>1771578236804 – 1771578241304</t>
        </is>
      </c>
      <c r="D82" s="32">
        <f>IMAGE("https://liskibruh.github.io/l4_data_sheets_table_images_mapper/l4_problematic_frames/xl/media/image60.png")</f>
        <v/>
      </c>
      <c r="E82" s="32">
        <f>IMAGE("https://liskibruh.github.io/l4_data_sheets_table_images_mapper/l4_problematic_frames/xl/media/image61.png")</f>
        <v/>
      </c>
      <c r="F82" s="30" t="n"/>
      <c r="G82" s="27" t="inlineStr">
        <is>
          <t>Missed static object (range)</t>
        </is>
      </c>
    </row>
    <row r="83" ht="17" customHeight="1" s="26">
      <c r="A83" s="33" t="n"/>
      <c r="B83" s="33" t="n"/>
      <c r="C83" s="33" t="n"/>
      <c r="D83" s="33" t="n"/>
      <c r="E83" s="33" t="n"/>
      <c r="F83" s="33" t="n"/>
      <c r="G83" s="33" t="n"/>
    </row>
    <row r="84" ht="41" customHeight="1" s="26">
      <c r="A84" s="30" t="n"/>
      <c r="B84" s="30" t="n"/>
      <c r="C84" s="31" t="inlineStr">
        <is>
          <t>1771578243805 – 1771578253804</t>
        </is>
      </c>
      <c r="D84" s="32">
        <f>IMAGE("https://liskibruh.github.io/l4_data_sheets_table_images_mapper/l4_problematic_frames/xl/media/image62.png")</f>
        <v/>
      </c>
      <c r="E84" s="32">
        <f>IMAGE("https://liskibruh.github.io/l4_data_sheets_table_images_mapper/l4_problematic_frames/xl/media/image63.png")</f>
        <v/>
      </c>
      <c r="F84" s="30" t="n"/>
      <c r="G84" s="27" t="inlineStr">
        <is>
          <t>Misclassification as car</t>
        </is>
      </c>
    </row>
    <row r="85" ht="17" customHeight="1" s="26">
      <c r="A85" s="33" t="n"/>
      <c r="B85" s="33" t="n"/>
      <c r="C85" s="33" t="n"/>
      <c r="D85" s="33" t="n"/>
      <c r="E85" s="33" t="n"/>
      <c r="F85" s="33" t="n"/>
      <c r="G85" s="33" t="n"/>
    </row>
    <row r="86" ht="69" customHeight="1" s="26">
      <c r="A86" s="30" t="n"/>
      <c r="B86" s="30" t="n"/>
      <c r="C86" s="31" t="n">
        <v>1771578255604</v>
      </c>
      <c r="D86" s="32">
        <f>IMAGE("https://liskibruh.github.io/l4_data_sheets_table_images_mapper/l4_problematic_frames/xl/media/image64.png")</f>
        <v/>
      </c>
      <c r="E86" s="30" t="n"/>
      <c r="F86" s="30" t="n"/>
      <c r="G86" s="27" t="inlineStr">
        <is>
          <t>Misclassification as car + missed static object</t>
        </is>
      </c>
    </row>
    <row r="87" ht="17" customHeight="1" s="26">
      <c r="A87" s="33" t="n"/>
      <c r="B87" s="33" t="n"/>
      <c r="C87" s="33" t="n"/>
      <c r="D87" s="33" t="n"/>
      <c r="E87" s="33" t="n"/>
      <c r="F87" s="33" t="n"/>
      <c r="G87" s="33" t="n"/>
    </row>
    <row r="88" ht="27" customHeight="1" s="26">
      <c r="A88" s="30" t="n"/>
      <c r="B88" s="30" t="n"/>
      <c r="C88" s="31" t="n">
        <v>1771578258205</v>
      </c>
      <c r="D88" s="32">
        <f>IMAGE("https://liskibruh.github.io/l4_data_sheets_table_images_mapper/l4_problematic_frames/xl/media/image65.png")</f>
        <v/>
      </c>
      <c r="E88" s="30" t="n"/>
      <c r="F88" s="30" t="n"/>
      <c r="G88" s="27" t="inlineStr">
        <is>
          <t>Missed static object</t>
        </is>
      </c>
    </row>
    <row r="89" ht="17" customHeight="1" s="26">
      <c r="A89" s="33" t="n"/>
      <c r="B89" s="33" t="n"/>
      <c r="C89" s="33" t="n"/>
      <c r="D89" s="33" t="n"/>
      <c r="E89" s="33" t="n"/>
      <c r="F89" s="33" t="n"/>
      <c r="G89" s="33" t="n"/>
    </row>
    <row r="90" ht="27" customHeight="1" s="26">
      <c r="A90" s="30" t="n"/>
      <c r="B90" s="30" t="n"/>
      <c r="C90" s="31" t="n">
        <v>1771578261405</v>
      </c>
      <c r="D90" s="32">
        <f>IMAGE("https://liskibruh.github.io/l4_data_sheets_table_images_mapper/l4_problematic_frames/xl/media/image66.png")</f>
        <v/>
      </c>
      <c r="E90" s="30" t="n"/>
      <c r="F90" s="30" t="n"/>
      <c r="G90" s="27" t="inlineStr">
        <is>
          <t>Missed static object</t>
        </is>
      </c>
    </row>
    <row r="91" ht="17" customHeight="1" s="26">
      <c r="A91" s="33" t="n"/>
      <c r="B91" s="33" t="n"/>
      <c r="C91" s="33" t="n"/>
      <c r="D91" s="33" t="n"/>
      <c r="E91" s="33" t="n"/>
      <c r="F91" s="33" t="n"/>
      <c r="G91" s="33" t="n"/>
    </row>
    <row r="92" ht="41" customHeight="1" s="26">
      <c r="A92" s="30" t="n"/>
      <c r="B92" s="30" t="n"/>
      <c r="C92" s="31" t="inlineStr">
        <is>
          <t>1771578264905 – 1771578275305</t>
        </is>
      </c>
      <c r="D92" s="32">
        <f>IMAGE("https://liskibruh.github.io/l4_data_sheets_table_images_mapper/l4_problematic_frames/xl/media/image67.png")</f>
        <v/>
      </c>
      <c r="E92" s="32">
        <f>IMAGE("https://liskibruh.github.io/l4_data_sheets_table_images_mapper/l4_problematic_frames/xl/media/image68.png")</f>
        <v/>
      </c>
      <c r="F92" s="30" t="n"/>
      <c r="G92" s="27" t="inlineStr">
        <is>
          <t>Missed static object (range)</t>
        </is>
      </c>
    </row>
    <row r="93" ht="17" customHeight="1" s="26">
      <c r="A93" s="33" t="n"/>
      <c r="B93" s="33" t="n"/>
      <c r="C93" s="33" t="n"/>
      <c r="D93" s="33" t="n"/>
      <c r="E93" s="33" t="n"/>
      <c r="F93" s="33" t="n"/>
      <c r="G93" s="33" t="n"/>
    </row>
    <row r="94" ht="41" customHeight="1" s="26">
      <c r="A94" s="30" t="n"/>
      <c r="B94" s="30" t="n"/>
      <c r="C94" s="31" t="inlineStr">
        <is>
          <t>1771578278004 – 1771578278404</t>
        </is>
      </c>
      <c r="D94" s="32">
        <f>IMAGE("https://liskibruh.github.io/l4_data_sheets_table_images_mapper/l4_problematic_frames/xl/media/image69.png")</f>
        <v/>
      </c>
      <c r="E94" s="32">
        <f>IMAGE("https://liskibruh.github.io/l4_data_sheets_table_images_mapper/l4_problematic_frames/xl/media/image70.png")</f>
        <v/>
      </c>
      <c r="F94" s="30" t="n"/>
      <c r="G94" s="27" t="inlineStr">
        <is>
          <t>Missed static object</t>
        </is>
      </c>
    </row>
    <row r="95" ht="17" customHeight="1" s="26">
      <c r="A95" s="33" t="n"/>
      <c r="B95" s="33" t="n"/>
      <c r="C95" s="33" t="n"/>
      <c r="D95" s="33" t="n"/>
      <c r="E95" s="33" t="n"/>
      <c r="F95" s="33" t="n"/>
      <c r="G95" s="33" t="n"/>
    </row>
    <row r="96" ht="41" customHeight="1" s="26">
      <c r="A96" s="30" t="n"/>
      <c r="B96" s="30" t="n"/>
      <c r="C96" s="31" t="inlineStr">
        <is>
          <t>1771578280105 – 1771578280704</t>
        </is>
      </c>
      <c r="D96" s="32">
        <f>IMAGE("https://liskibruh.github.io/l4_data_sheets_table_images_mapper/l4_problematic_frames/xl/media/image71.png")</f>
        <v/>
      </c>
      <c r="E96" s="32">
        <f>IMAGE("https://liskibruh.github.io/l4_data_sheets_table_images_mapper/l4_problematic_frames/xl/media/image72.png")</f>
        <v/>
      </c>
      <c r="F96" s="30" t="n"/>
      <c r="G96" s="27" t="inlineStr">
        <is>
          <t>Missed static object</t>
        </is>
      </c>
    </row>
    <row r="97" ht="17" customHeight="1" s="26">
      <c r="A97" s="33" t="n"/>
      <c r="B97" s="33" t="n"/>
      <c r="C97" s="33" t="n"/>
      <c r="D97" s="33" t="n"/>
      <c r="E97" s="33" t="n"/>
      <c r="F97" s="33" t="n"/>
      <c r="G97" s="33" t="n"/>
    </row>
    <row r="98" ht="41" customHeight="1" s="26">
      <c r="A98" s="30" t="n"/>
      <c r="B98" s="30" t="n"/>
      <c r="C98" s="31" t="inlineStr">
        <is>
          <t>1771578366404 – 1771578367505</t>
        </is>
      </c>
      <c r="D98" s="32">
        <f>IMAGE("https://liskibruh.github.io/l4_data_sheets_table_images_mapper/l4_problematic_frames/xl/media/image73.png")</f>
        <v/>
      </c>
      <c r="E98" s="32">
        <f>IMAGE("https://liskibruh.github.io/l4_data_sheets_table_images_mapper/l4_problematic_frames/xl/media/image74.png")</f>
        <v/>
      </c>
      <c r="F98" s="30" t="n"/>
      <c r="G98" s="27" t="inlineStr">
        <is>
          <t>Missed static object</t>
        </is>
      </c>
    </row>
    <row r="99" ht="17" customHeight="1" s="26">
      <c r="A99" s="33" t="n"/>
      <c r="B99" s="33" t="n"/>
      <c r="C99" s="33" t="n"/>
      <c r="D99" s="33" t="n"/>
      <c r="E99" s="33" t="n"/>
      <c r="F99" s="33" t="n"/>
      <c r="G99" s="33" t="n"/>
    </row>
    <row r="100" ht="41" customHeight="1" s="26">
      <c r="A100" s="30" t="n"/>
      <c r="B100" s="30" t="n"/>
      <c r="C100" s="31" t="inlineStr">
        <is>
          <t>1771578367905 – 1771578370804</t>
        </is>
      </c>
      <c r="D100" s="32">
        <f>IMAGE("https://liskibruh.github.io/l4_data_sheets_table_images_mapper/l4_problematic_frames/xl/media/image75.png")</f>
        <v/>
      </c>
      <c r="E100" s="32">
        <f>IMAGE("https://liskibruh.github.io/l4_data_sheets_table_images_mapper/l4_problematic_frames/xl/media/image76.png")</f>
        <v/>
      </c>
      <c r="F100" s="30" t="n"/>
      <c r="G100" s="27" t="inlineStr">
        <is>
          <t>Missed static object (range)</t>
        </is>
      </c>
    </row>
    <row r="101" ht="17" customHeight="1" s="26">
      <c r="A101" s="33" t="n"/>
      <c r="B101" s="33" t="n"/>
      <c r="C101" s="33" t="n"/>
      <c r="D101" s="33" t="n"/>
      <c r="E101" s="33" t="n"/>
      <c r="F101" s="33" t="n"/>
      <c r="G101" s="33" t="n"/>
    </row>
    <row r="102" ht="17" customHeight="1" s="26">
      <c r="A102" s="30" t="n"/>
      <c r="B102" s="30" t="n"/>
      <c r="C102" s="31" t="n">
        <v>1771578368405</v>
      </c>
      <c r="D102" s="32">
        <f>IMAGE("https://liskibruh.github.io/l4_data_sheets_table_images_mapper/l4_problematic_frames/xl/media/image77.png")</f>
        <v/>
      </c>
      <c r="E102" s="30" t="n"/>
      <c r="F102" s="30" t="n"/>
      <c r="G102" s="27" t="inlineStr">
        <is>
          <t>Missed truck</t>
        </is>
      </c>
    </row>
    <row r="103" ht="17" customHeight="1" s="26">
      <c r="A103" s="33" t="n"/>
      <c r="B103" s="33" t="n"/>
      <c r="C103" s="33" t="n"/>
      <c r="D103" s="33" t="n"/>
      <c r="E103" s="33" t="n"/>
      <c r="F103" s="33" t="n"/>
      <c r="G103" s="33" t="n"/>
    </row>
    <row r="104" ht="41" customHeight="1" s="26">
      <c r="A104" s="30" t="n"/>
      <c r="B104" s="30" t="n"/>
      <c r="C104" s="31" t="inlineStr">
        <is>
          <t>1771578371805 – 1771578375304</t>
        </is>
      </c>
      <c r="D104" s="32">
        <f>IMAGE("https://liskibruh.github.io/l4_data_sheets_table_images_mapper/l4_problematic_frames/xl/media/image78.png")</f>
        <v/>
      </c>
      <c r="E104" s="32">
        <f>IMAGE("https://liskibruh.github.io/l4_data_sheets_table_images_mapper/l4_problematic_frames/xl/media/image79.png")</f>
        <v/>
      </c>
      <c r="F104" s="30" t="n"/>
      <c r="G104" s="27" t="inlineStr">
        <is>
          <t>Missed static object (range)</t>
        </is>
      </c>
    </row>
    <row r="105" ht="17" customHeight="1" s="26">
      <c r="A105" s="33" t="n"/>
      <c r="B105" s="33" t="n"/>
      <c r="C105" s="33" t="n"/>
      <c r="D105" s="33" t="n"/>
      <c r="E105" s="33" t="n"/>
      <c r="F105" s="33" t="n"/>
      <c r="G105" s="33" t="n"/>
    </row>
    <row r="106" ht="41" customHeight="1" s="26">
      <c r="A106" s="30" t="n"/>
      <c r="B106" s="30" t="n"/>
      <c r="C106" s="31" t="inlineStr">
        <is>
          <t>1771578415204 – 1771578419004</t>
        </is>
      </c>
      <c r="D106" s="32">
        <f>IMAGE("https://liskibruh.github.io/l4_data_sheets_table_images_mapper/l4_problematic_frames/xl/media/image80.png")</f>
        <v/>
      </c>
      <c r="E106" s="32">
        <f>IMAGE("https://liskibruh.github.io/l4_data_sheets_table_images_mapper/l4_problematic_frames/xl/media/image81.png")</f>
        <v/>
      </c>
      <c r="F106" s="30" t="n"/>
      <c r="G106" s="27" t="inlineStr">
        <is>
          <t>Missed static object</t>
        </is>
      </c>
    </row>
    <row r="107" ht="17" customHeight="1" s="26">
      <c r="A107" s="33" t="n"/>
      <c r="B107" s="33" t="n"/>
      <c r="C107" s="33" t="n"/>
      <c r="D107" s="33" t="n"/>
      <c r="E107" s="33" t="n"/>
      <c r="F107" s="33" t="n"/>
      <c r="G107" s="33" t="n"/>
    </row>
    <row r="108" ht="41" customHeight="1" s="26">
      <c r="A108" s="30" t="n"/>
      <c r="B108" s="30" t="n"/>
      <c r="C108" s="31" t="inlineStr">
        <is>
          <t>1771743448104 – 1771743448504</t>
        </is>
      </c>
      <c r="D108" s="32">
        <f>IMAGE("https://liskibruh.github.io/l4_data_sheets_table_images_mapper/l4_problematic_frames/xl/media/image82.png")</f>
        <v/>
      </c>
      <c r="E108" s="32">
        <f>IMAGE("https://liskibruh.github.io/l4_data_sheets_table_images_mapper/l4_problematic_frames/xl/media/image83.png")</f>
        <v/>
      </c>
      <c r="F108" s="30" t="n"/>
      <c r="G108" s="27" t="inlineStr">
        <is>
          <t>Missed truck</t>
        </is>
      </c>
    </row>
    <row r="109" ht="17" customHeight="1" s="26">
      <c r="A109" s="33" t="n"/>
      <c r="B109" s="33" t="n"/>
      <c r="C109" s="33" t="n"/>
      <c r="D109" s="33" t="n"/>
      <c r="E109" s="33" t="n"/>
      <c r="F109" s="33" t="n"/>
      <c r="G109" s="33" t="n"/>
    </row>
    <row r="110" ht="41" customHeight="1" s="26">
      <c r="A110" s="30" t="n"/>
      <c r="B110" s="30" t="n"/>
      <c r="C110" s="27" t="n">
        <v>1771743449305</v>
      </c>
      <c r="D110" s="32">
        <f>IMAGE("https://liskibruh.github.io/l4_data_sheets_table_images_mapper/l4_problematic_frames/xl/media/image84.png")</f>
        <v/>
      </c>
      <c r="E110" s="30" t="n"/>
      <c r="F110" s="30" t="n"/>
      <c r="G110" s="27" t="inlineStr">
        <is>
          <t>Missing annotation of static objects</t>
        </is>
      </c>
    </row>
    <row r="111" ht="17" customHeight="1" s="26">
      <c r="A111" s="33" t="n"/>
      <c r="B111" s="33" t="n"/>
      <c r="C111" s="33" t="n"/>
      <c r="D111" s="33" t="n"/>
      <c r="E111" s="33" t="n"/>
      <c r="F111" s="33" t="n"/>
      <c r="G111" s="33" t="n"/>
    </row>
    <row r="112" ht="41" customHeight="1" s="26">
      <c r="A112" s="30" t="n"/>
      <c r="B112" s="30" t="n"/>
      <c r="C112" s="27" t="n">
        <v>1771743452104</v>
      </c>
      <c r="D112" s="32">
        <f>IMAGE("https://liskibruh.github.io/l4_data_sheets_table_images_mapper/l4_problematic_frames/xl/media/image85.png")</f>
        <v/>
      </c>
      <c r="E112" s="30" t="n"/>
      <c r="F112" s="30" t="n"/>
      <c r="G112" s="27" t="inlineStr">
        <is>
          <t>Missing annotation of static objects</t>
        </is>
      </c>
    </row>
    <row r="113" ht="17" customHeight="1" s="26">
      <c r="A113" s="33" t="n"/>
      <c r="B113" s="33" t="n"/>
      <c r="C113" s="33" t="n"/>
      <c r="D113" s="33" t="n"/>
      <c r="E113" s="33" t="n"/>
      <c r="F113" s="33" t="n"/>
      <c r="G113" s="33" t="n"/>
    </row>
    <row r="114" ht="27" customHeight="1" s="26">
      <c r="A114" s="30" t="n"/>
      <c r="B114" s="30" t="n"/>
      <c r="C114" s="27" t="n">
        <v>1771743921205</v>
      </c>
      <c r="D114" s="32">
        <f>IMAGE("https://liskibruh.github.io/l4_data_sheets_table_images_mapper/l4_problematic_frames/xl/media/image86.png")</f>
        <v/>
      </c>
      <c r="E114" s="30" t="n"/>
      <c r="F114" s="30" t="n"/>
      <c r="G114" s="27" t="inlineStr">
        <is>
          <t>Missing annotation of trucks</t>
        </is>
      </c>
    </row>
    <row r="115" ht="17" customHeight="1" s="26">
      <c r="A115" s="33" t="n"/>
      <c r="B115" s="33" t="n"/>
      <c r="C115" s="33" t="n"/>
      <c r="D115" s="33" t="n"/>
      <c r="E115" s="33" t="n"/>
      <c r="F115" s="33" t="n"/>
      <c r="G115" s="33" t="n"/>
    </row>
    <row r="116" ht="41" customHeight="1" s="26">
      <c r="A116" s="30" t="n"/>
      <c r="B116" s="30" t="n"/>
      <c r="C116" s="27" t="n">
        <v>1771743989704</v>
      </c>
      <c r="D116" s="32">
        <f>IMAGE("https://liskibruh.github.io/l4_data_sheets_table_images_mapper/l4_problematic_frames/xl/media/image87.png")</f>
        <v/>
      </c>
      <c r="E116" s="30" t="n"/>
      <c r="F116" s="30" t="n"/>
      <c r="G116" s="27" t="inlineStr">
        <is>
          <t>Missing annotation of static objects</t>
        </is>
      </c>
    </row>
    <row r="117" ht="17" customHeight="1" s="26">
      <c r="A117" s="33" t="n"/>
      <c r="B117" s="33" t="n"/>
      <c r="C117" s="33" t="n"/>
      <c r="D117" s="33" t="n"/>
      <c r="E117" s="33" t="n"/>
      <c r="F117" s="33" t="n"/>
      <c r="G117" s="33" t="n"/>
    </row>
    <row r="118" ht="41" customHeight="1" s="26">
      <c r="A118" s="30" t="n"/>
      <c r="B118" s="30" t="n"/>
      <c r="C118" s="27" t="n">
        <v>1771743992704</v>
      </c>
      <c r="D118" s="32">
        <f>IMAGE("https://liskibruh.github.io/l4_data_sheets_table_images_mapper/l4_problematic_frames/xl/media/image88.png")</f>
        <v/>
      </c>
      <c r="E118" s="30" t="n"/>
      <c r="F118" s="30" t="n"/>
      <c r="G118" s="27" t="inlineStr">
        <is>
          <t>Missing annotation of static objects</t>
        </is>
      </c>
    </row>
    <row r="119" ht="17" customHeight="1" s="26">
      <c r="A119" s="33" t="n"/>
      <c r="B119" s="33" t="n"/>
      <c r="C119" s="33" t="n"/>
      <c r="D119" s="33" t="n"/>
      <c r="E119" s="33" t="n"/>
      <c r="F119" s="33" t="n"/>
      <c r="G119" s="33" t="n"/>
    </row>
    <row r="120" ht="41" customHeight="1" s="26">
      <c r="A120" s="30" t="n"/>
      <c r="B120" s="30" t="n"/>
      <c r="C120" s="27" t="inlineStr">
        <is>
          <t>1771744031404 1771744031805</t>
        </is>
      </c>
      <c r="D120" s="32">
        <f>IMAGE("https://liskibruh.github.io/l4_data_sheets_table_images_mapper/l4_problematic_frames/xl/media/image89.png")</f>
        <v/>
      </c>
      <c r="E120" s="32">
        <f>IMAGE("https://liskibruh.github.io/l4_data_sheets_table_images_mapper/l4_problematic_frames/xl/media/image90.png")</f>
        <v/>
      </c>
      <c r="F120" s="30" t="n"/>
      <c r="G120" s="27" t="inlineStr">
        <is>
          <t>Missing annotation of static objects</t>
        </is>
      </c>
    </row>
    <row r="121" ht="17" customHeight="1" s="26">
      <c r="A121" s="33" t="n"/>
      <c r="B121" s="33" t="n"/>
      <c r="C121" s="33" t="n"/>
      <c r="D121" s="33" t="n"/>
      <c r="E121" s="33" t="n"/>
      <c r="F121" s="33" t="n"/>
      <c r="G121" s="33" t="n"/>
    </row>
    <row r="122" ht="25" customHeight="1" s="26">
      <c r="A122" s="30" t="n"/>
      <c r="B122" s="30" t="n"/>
      <c r="C122" s="4" t="n">
        <v>1771744037204</v>
      </c>
      <c r="D122" s="32">
        <f>IMAGE("https://liskibruh.github.io/l4_data_sheets_table_images_mapper/l4_problematic_frames/xl/media/image91.png")</f>
        <v/>
      </c>
      <c r="E122" s="32">
        <f>IMAGE("https://liskibruh.github.io/l4_data_sheets_table_images_mapper/l4_problematic_frames/xl/media/image92.png")</f>
        <v/>
      </c>
      <c r="F122" s="32">
        <f>IMAGE("https://liskibruh.github.io/l4_data_sheets_table_images_mapper/l4_problematic_frames/xl/media/image93.png")</f>
        <v/>
      </c>
      <c r="G122" s="27" t="inlineStr">
        <is>
          <t>Missing annotation of static objects</t>
        </is>
      </c>
    </row>
    <row r="123" ht="17" customHeight="1" s="26">
      <c r="A123" s="34" t="n"/>
      <c r="B123" s="34" t="n"/>
      <c r="C123" s="10" t="n">
        <v>1771744037604</v>
      </c>
      <c r="D123" s="34" t="n"/>
      <c r="E123" s="34" t="n"/>
      <c r="F123" s="34" t="n"/>
      <c r="G123" s="34" t="n"/>
    </row>
    <row r="124" ht="17" customHeight="1" s="26">
      <c r="A124" s="33" t="n"/>
      <c r="B124" s="33" t="n"/>
      <c r="C124" s="7" t="n">
        <v>1771744038004</v>
      </c>
      <c r="D124" s="33" t="n"/>
      <c r="E124" s="33" t="n"/>
      <c r="F124" s="33" t="n"/>
      <c r="G124" s="33" t="n"/>
    </row>
    <row r="125" ht="41" customHeight="1" s="26">
      <c r="A125" s="30" t="n"/>
      <c r="B125" s="30" t="n"/>
      <c r="C125" s="27" t="n">
        <v>1771744038805</v>
      </c>
      <c r="D125" s="32">
        <f>IMAGE("https://liskibruh.github.io/l4_data_sheets_table_images_mapper/l4_problematic_frames/xl/media/image94.png")</f>
        <v/>
      </c>
      <c r="E125" s="30" t="n"/>
      <c r="F125" s="30" t="n"/>
      <c r="G125" s="27" t="inlineStr">
        <is>
          <t>Missing annotation of static objects</t>
        </is>
      </c>
    </row>
    <row r="126" ht="17" customHeight="1" s="26">
      <c r="A126" s="33" t="n"/>
      <c r="B126" s="33" t="n"/>
      <c r="C126" s="33" t="n"/>
      <c r="D126" s="33" t="n"/>
      <c r="E126" s="33" t="n"/>
      <c r="F126" s="33" t="n"/>
      <c r="G126" s="33" t="n"/>
    </row>
    <row r="127" ht="41" customHeight="1" s="26">
      <c r="A127" s="30" t="n"/>
      <c r="B127" s="30" t="n"/>
      <c r="C127" s="27" t="n">
        <v>1771744040604</v>
      </c>
      <c r="D127" s="32">
        <f>IMAGE("https://liskibruh.github.io/l4_data_sheets_table_images_mapper/l4_problematic_frames/xl/media/image95.png")</f>
        <v/>
      </c>
      <c r="E127" s="30" t="n"/>
      <c r="F127" s="30" t="n"/>
      <c r="G127" s="27" t="inlineStr">
        <is>
          <t>Missing annotation of static objects</t>
        </is>
      </c>
    </row>
    <row r="128" ht="17" customHeight="1" s="26">
      <c r="A128" s="33" t="n"/>
      <c r="B128" s="33" t="n"/>
      <c r="C128" s="33" t="n"/>
      <c r="D128" s="33" t="n"/>
      <c r="E128" s="33" t="n"/>
      <c r="F128" s="33" t="n"/>
      <c r="G128" s="33" t="n"/>
    </row>
    <row r="129" ht="41" customHeight="1" s="26">
      <c r="A129" s="30" t="n"/>
      <c r="B129" s="30" t="n"/>
      <c r="C129" s="27" t="n">
        <v>1771744043205</v>
      </c>
      <c r="D129" s="32">
        <f>IMAGE("https://liskibruh.github.io/l4_data_sheets_table_images_mapper/l4_problematic_frames/xl/media/image96.png")</f>
        <v/>
      </c>
      <c r="E129" s="30" t="n"/>
      <c r="F129" s="30" t="n"/>
      <c r="G129" s="27" t="inlineStr">
        <is>
          <t>Missing annotation of static objects</t>
        </is>
      </c>
    </row>
    <row r="130" ht="17" customHeight="1" s="26">
      <c r="A130" s="33" t="n"/>
      <c r="B130" s="33" t="n"/>
      <c r="C130" s="33" t="n"/>
      <c r="D130" s="33" t="n"/>
      <c r="E130" s="33" t="n"/>
      <c r="F130" s="33" t="n"/>
      <c r="G130" s="33" t="n"/>
    </row>
    <row r="131" ht="17" customHeight="1" s="26">
      <c r="A131" s="30" t="n"/>
      <c r="B131" s="30" t="n"/>
      <c r="C131" s="27" t="n">
        <v>1771744050604</v>
      </c>
      <c r="D131" s="32">
        <f>IMAGE("https://liskibruh.github.io/l4_data_sheets_table_images_mapper/l4_problematic_frames/xl/media/image97.png")</f>
        <v/>
      </c>
      <c r="E131" s="30" t="n"/>
      <c r="F131" s="30" t="n"/>
      <c r="G131" s="27" t="inlineStr">
        <is>
          <t>Truck orientation</t>
        </is>
      </c>
    </row>
    <row r="132" ht="17" customHeight="1" s="26">
      <c r="A132" s="33" t="n"/>
      <c r="B132" s="33" t="n"/>
      <c r="C132" s="33" t="n"/>
      <c r="D132" s="33" t="n"/>
      <c r="E132" s="33" t="n"/>
      <c r="F132" s="33" t="n"/>
      <c r="G132" s="33" t="n"/>
    </row>
    <row r="133" ht="17" customHeight="1" s="26">
      <c r="A133" s="30" t="n"/>
      <c r="B133" s="30" t="n"/>
      <c r="C133" s="27" t="n">
        <v>1771744051004</v>
      </c>
      <c r="D133" s="32">
        <f>IMAGE("https://liskibruh.github.io/l4_data_sheets_table_images_mapper/l4_problematic_frames/xl/media/image98.png")</f>
        <v/>
      </c>
      <c r="E133" s="30" t="n"/>
      <c r="F133" s="30" t="n"/>
      <c r="G133" s="27" t="inlineStr">
        <is>
          <t>Missing truck</t>
        </is>
      </c>
    </row>
    <row r="134" ht="17" customHeight="1" s="26">
      <c r="A134" s="33" t="n"/>
      <c r="B134" s="33" t="n"/>
      <c r="C134" s="33" t="n"/>
      <c r="D134" s="33" t="n"/>
      <c r="E134" s="33" t="n"/>
      <c r="F134" s="33" t="n"/>
      <c r="G134" s="33" t="n"/>
    </row>
    <row r="135" ht="55" customHeight="1" s="26">
      <c r="A135" s="30" t="n"/>
      <c r="B135" s="30" t="n"/>
      <c r="C135" s="27" t="n">
        <v>1771744053205</v>
      </c>
      <c r="D135" s="32">
        <f>IMAGE("https://liskibruh.github.io/l4_data_sheets_table_images_mapper/l4_problematic_frames/xl/media/image99.png")</f>
        <v/>
      </c>
      <c r="E135" s="30" t="n"/>
      <c r="F135" s="30" t="n"/>
      <c r="G135" s="27" t="inlineStr">
        <is>
          <t>Truck orientation + missing static object</t>
        </is>
      </c>
    </row>
    <row r="136" ht="17" customHeight="1" s="26">
      <c r="A136" s="33" t="n"/>
      <c r="B136" s="33" t="n"/>
      <c r="C136" s="33" t="n"/>
      <c r="D136" s="33" t="n"/>
      <c r="E136" s="33" t="n"/>
      <c r="F136" s="33" t="n"/>
      <c r="G136" s="33" t="n"/>
    </row>
    <row r="137" ht="55" customHeight="1" s="26">
      <c r="A137" s="30" t="n"/>
      <c r="B137" s="30" t="n"/>
      <c r="C137" s="4" t="n">
        <v>1771744055004</v>
      </c>
      <c r="D137" s="32">
        <f>IMAGE("https://liskibruh.github.io/l4_data_sheets_table_images_mapper/l4_problematic_frames/xl/media/image100.png")</f>
        <v/>
      </c>
      <c r="E137" s="32">
        <f>IMAGE("https://liskibruh.github.io/l4_data_sheets_table_images_mapper/l4_problematic_frames/xl/media/image101.png")</f>
        <v/>
      </c>
      <c r="F137" s="30" t="n"/>
      <c r="G137" s="27" t="inlineStr">
        <is>
          <t>Truck orientation + missing static object</t>
        </is>
      </c>
    </row>
    <row r="138" ht="17" customHeight="1" s="26">
      <c r="A138" s="33" t="n"/>
      <c r="B138" s="33" t="n"/>
      <c r="C138" s="7" t="n">
        <v>1771744055405</v>
      </c>
      <c r="D138" s="33" t="n"/>
      <c r="E138" s="33" t="n"/>
      <c r="F138" s="33" t="n"/>
      <c r="G138" s="33" t="n"/>
    </row>
    <row r="139" ht="55" customHeight="1" s="26">
      <c r="A139" s="30" t="n"/>
      <c r="B139" s="30" t="n"/>
      <c r="C139" s="27" t="n">
        <v>1771744056205</v>
      </c>
      <c r="D139" s="32">
        <f>IMAGE("https://liskibruh.github.io/l4_data_sheets_table_images_mapper/l4_problematic_frames/xl/media/image102.png")</f>
        <v/>
      </c>
      <c r="E139" s="30" t="n"/>
      <c r="F139" s="30" t="n"/>
      <c r="G139" s="27" t="inlineStr">
        <is>
          <t>Truck orientation + missing static object</t>
        </is>
      </c>
    </row>
    <row r="140" ht="17" customHeight="1" s="26">
      <c r="A140" s="33" t="n"/>
      <c r="B140" s="33" t="n"/>
      <c r="C140" s="33" t="n"/>
      <c r="D140" s="33" t="n"/>
      <c r="E140" s="33" t="n"/>
      <c r="F140" s="33" t="n"/>
      <c r="G140" s="33" t="n"/>
    </row>
    <row r="141" ht="27" customHeight="1" s="26">
      <c r="A141" s="30" t="n"/>
      <c r="B141" s="30" t="n"/>
      <c r="C141" s="4" t="n">
        <v>1771744056804</v>
      </c>
      <c r="D141" s="32">
        <f>IMAGE("https://liskibruh.github.io/l4_data_sheets_table_images_mapper/l4_problematic_frames/xl/media/image103.png")</f>
        <v/>
      </c>
      <c r="E141" s="32">
        <f>IMAGE("https://liskibruh.github.io/l4_data_sheets_table_images_mapper/l4_problematic_frames/xl/media/image104.png")</f>
        <v/>
      </c>
      <c r="F141" s="30" t="n"/>
      <c r="G141" s="27" t="inlineStr">
        <is>
          <t>Missing static object</t>
        </is>
      </c>
    </row>
    <row r="142" ht="17" customHeight="1" s="26">
      <c r="A142" s="33" t="n"/>
      <c r="B142" s="33" t="n"/>
      <c r="C142" s="7" t="n">
        <v>1771744057204</v>
      </c>
      <c r="D142" s="33" t="n"/>
      <c r="E142" s="33" t="n"/>
      <c r="F142" s="33" t="n"/>
      <c r="G142" s="33" t="n"/>
    </row>
    <row r="143" ht="17" customHeight="1" s="26">
      <c r="A143" s="30" t="n"/>
      <c r="B143" s="30" t="n"/>
      <c r="C143" s="4" t="n">
        <v>1771744065004</v>
      </c>
      <c r="D143" s="32">
        <f>IMAGE("https://liskibruh.github.io/l4_data_sheets_table_images_mapper/l4_problematic_frames/xl/media/image105.png")</f>
        <v/>
      </c>
      <c r="E143" s="32">
        <f>IMAGE("https://liskibruh.github.io/l4_data_sheets_table_images_mapper/l4_problematic_frames/xl/media/image106.png")</f>
        <v/>
      </c>
      <c r="F143" s="30" t="n"/>
      <c r="G143" s="27" t="inlineStr">
        <is>
          <t>Missing truck</t>
        </is>
      </c>
    </row>
    <row r="144" ht="17" customHeight="1" s="26">
      <c r="A144" s="33" t="n"/>
      <c r="B144" s="33" t="n"/>
      <c r="C144" s="7" t="n">
        <v>1771744065405</v>
      </c>
      <c r="D144" s="33" t="n"/>
      <c r="E144" s="33" t="n"/>
      <c r="F144" s="33" t="n"/>
      <c r="G144" s="33" t="n"/>
    </row>
    <row r="145" ht="55" customHeight="1" s="26">
      <c r="A145" s="30" t="n"/>
      <c r="B145" s="30" t="n"/>
      <c r="C145" s="27" t="n">
        <v>1771744066205</v>
      </c>
      <c r="D145" s="32">
        <f>IMAGE("https://liskibruh.github.io/l4_data_sheets_table_images_mapper/l4_problematic_frames/xl/media/image107.png")</f>
        <v/>
      </c>
      <c r="E145" s="30" t="n"/>
      <c r="F145" s="30" t="n"/>
      <c r="G145" s="27" t="inlineStr">
        <is>
          <t>Truck orientation + missing static object</t>
        </is>
      </c>
    </row>
    <row r="146" ht="17" customHeight="1" s="26">
      <c r="A146" s="33" t="n"/>
      <c r="B146" s="33" t="n"/>
      <c r="C146" s="33" t="n"/>
      <c r="D146" s="33" t="n"/>
      <c r="E146" s="33" t="n"/>
      <c r="F146" s="33" t="n"/>
      <c r="G146" s="33" t="n"/>
    </row>
    <row r="147" ht="55" customHeight="1" s="26">
      <c r="A147" s="30" t="n"/>
      <c r="B147" s="30" t="n"/>
      <c r="C147" s="4" t="n">
        <v>1771744068004</v>
      </c>
      <c r="D147" s="32">
        <f>IMAGE("https://liskibruh.github.io/l4_data_sheets_table_images_mapper/l4_problematic_frames/xl/media/image108.png")</f>
        <v/>
      </c>
      <c r="E147" s="32">
        <f>IMAGE("https://liskibruh.github.io/l4_data_sheets_table_images_mapper/l4_problematic_frames/xl/media/image109.png")</f>
        <v/>
      </c>
      <c r="F147" s="30" t="n"/>
      <c r="G147" s="27" t="inlineStr">
        <is>
          <t>Truck orientation + missing static object</t>
        </is>
      </c>
    </row>
    <row r="148" ht="17" customHeight="1" s="26">
      <c r="A148" s="33" t="n"/>
      <c r="B148" s="33" t="n"/>
      <c r="C148" s="7" t="n">
        <v>1771744068404</v>
      </c>
      <c r="D148" s="33" t="n"/>
      <c r="E148" s="33" t="n"/>
      <c r="F148" s="33" t="n"/>
      <c r="G148" s="33" t="n"/>
    </row>
    <row r="149" ht="17" customHeight="1" s="26">
      <c r="A149" s="30" t="n"/>
      <c r="B149" s="30" t="n"/>
      <c r="C149" s="27" t="n">
        <v>1771744072004</v>
      </c>
      <c r="D149" s="32">
        <f>IMAGE("https://liskibruh.github.io/l4_data_sheets_table_images_mapper/l4_problematic_frames/xl/media/image110.png")</f>
        <v/>
      </c>
      <c r="E149" s="30" t="n"/>
      <c r="F149" s="30" t="n"/>
      <c r="G149" s="27" t="inlineStr">
        <is>
          <t>Truck orientation</t>
        </is>
      </c>
    </row>
    <row r="150" ht="17" customHeight="1" s="26">
      <c r="A150" s="33" t="n"/>
      <c r="B150" s="33" t="n"/>
      <c r="C150" s="33" t="n"/>
      <c r="D150" s="33" t="n"/>
      <c r="E150" s="33" t="n"/>
      <c r="F150" s="33" t="n"/>
      <c r="G150" s="33" t="n"/>
    </row>
    <row r="151" ht="29" customHeight="1" s="26">
      <c r="A151" s="30" t="n"/>
      <c r="B151" s="30" t="n"/>
      <c r="C151" s="4" t="inlineStr">
        <is>
          <t>1771744072004 -</t>
        </is>
      </c>
      <c r="D151" s="32">
        <f>IMAGE("https://liskibruh.github.io/l4_data_sheets_table_images_mapper/l4_problematic_frames/xl/media/image111.png")</f>
        <v/>
      </c>
      <c r="E151" s="30" t="n"/>
      <c r="F151" s="30" t="n"/>
      <c r="G151" s="27" t="inlineStr">
        <is>
          <t>Truck orientation</t>
        </is>
      </c>
    </row>
    <row r="152" ht="17" customHeight="1" s="26">
      <c r="A152" s="33" t="n"/>
      <c r="B152" s="33" t="n"/>
      <c r="C152" s="7" t="n">
        <v>1771744076205</v>
      </c>
      <c r="D152" s="33" t="n"/>
      <c r="E152" s="33" t="n"/>
      <c r="F152" s="33" t="n"/>
      <c r="G152" s="33" t="n"/>
    </row>
    <row r="153" ht="27" customHeight="1" s="26">
      <c r="A153" s="30" t="n"/>
      <c r="B153" s="30" t="n"/>
      <c r="C153" s="27" t="n">
        <v>1771744075805</v>
      </c>
      <c r="D153" s="32">
        <f>IMAGE("https://liskibruh.github.io/l4_data_sheets_table_images_mapper/l4_problematic_frames/xl/media/image112.png")</f>
        <v/>
      </c>
      <c r="E153" s="30" t="n"/>
      <c r="F153" s="30" t="n"/>
      <c r="G153" s="27" t="inlineStr">
        <is>
          <t>Missing static object</t>
        </is>
      </c>
    </row>
    <row r="154" ht="17" customHeight="1" s="26">
      <c r="A154" s="33" t="n"/>
      <c r="B154" s="33" t="n"/>
      <c r="C154" s="33" t="n"/>
      <c r="D154" s="33" t="n"/>
      <c r="E154" s="33" t="n"/>
      <c r="F154" s="33" t="n"/>
      <c r="G154" s="33" t="n"/>
    </row>
    <row r="155" ht="41" customHeight="1" s="26">
      <c r="A155" s="30" t="n"/>
      <c r="B155" s="30" t="n"/>
      <c r="C155" s="27" t="inlineStr">
        <is>
          <t>1771744116805 - 1771744119004</t>
        </is>
      </c>
      <c r="D155" s="32">
        <f>IMAGE("https://liskibruh.github.io/l4_data_sheets_table_images_mapper/l4_problematic_frames/xl/media/image113.png")</f>
        <v/>
      </c>
      <c r="E155" s="32">
        <f>IMAGE("https://liskibruh.github.io/l4_data_sheets_table_images_mapper/l4_problematic_frames/xl/media/image114.png")</f>
        <v/>
      </c>
      <c r="F155" s="30" t="n"/>
      <c r="G155" s="27" t="inlineStr">
        <is>
          <t>Truck labelled as car</t>
        </is>
      </c>
    </row>
    <row r="156" ht="17" customHeight="1" s="26">
      <c r="A156" s="33" t="n"/>
      <c r="B156" s="33" t="n"/>
      <c r="C156" s="33" t="n"/>
      <c r="D156" s="33" t="n"/>
      <c r="E156" s="33" t="n"/>
      <c r="F156" s="33" t="n"/>
      <c r="G156" s="33" t="n"/>
    </row>
    <row r="157" ht="29" customHeight="1" s="26">
      <c r="A157" s="30" t="n"/>
      <c r="B157" s="30" t="n"/>
      <c r="C157" s="4" t="inlineStr">
        <is>
          <t>1771744119805 -</t>
        </is>
      </c>
      <c r="D157" s="32">
        <f>IMAGE("https://liskibruh.github.io/l4_data_sheets_table_images_mapper/l4_problematic_frames/xl/media/image115.png")</f>
        <v/>
      </c>
      <c r="E157" s="32">
        <f>IMAGE("https://liskibruh.github.io/l4_data_sheets_table_images_mapper/l4_problematic_frames/xl/media/image116.png")</f>
        <v/>
      </c>
      <c r="F157" s="30" t="n"/>
      <c r="G157" s="27" t="inlineStr">
        <is>
          <t>Truck labelled as car</t>
        </is>
      </c>
    </row>
    <row r="158" ht="17" customHeight="1" s="26">
      <c r="A158" s="33" t="n"/>
      <c r="B158" s="33" t="n"/>
      <c r="C158" s="7" t="n">
        <v>1771744122404</v>
      </c>
      <c r="D158" s="33" t="n"/>
      <c r="E158" s="33" t="n"/>
      <c r="F158" s="33" t="n"/>
      <c r="G158" s="33" t="n"/>
    </row>
    <row r="159" ht="29" customHeight="1" s="26">
      <c r="A159" s="30" t="n"/>
      <c r="B159" s="30" t="n"/>
      <c r="C159" s="4" t="inlineStr">
        <is>
          <t>1771744123205 -</t>
        </is>
      </c>
      <c r="D159" s="32">
        <f>IMAGE("https://liskibruh.github.io/l4_data_sheets_table_images_mapper/l4_problematic_frames/xl/media/image117.png")</f>
        <v/>
      </c>
      <c r="E159" s="32">
        <f>IMAGE("https://liskibruh.github.io/l4_data_sheets_table_images_mapper/l4_problematic_frames/xl/media/image118.png")</f>
        <v/>
      </c>
      <c r="F159" s="30" t="n"/>
      <c r="G159" s="27" t="inlineStr">
        <is>
          <t>Truck labelled as car</t>
        </is>
      </c>
    </row>
    <row r="160" ht="17" customHeight="1" s="26">
      <c r="A160" s="33" t="n"/>
      <c r="B160" s="33" t="n"/>
      <c r="C160" s="7" t="n">
        <v>1771744124205</v>
      </c>
      <c r="D160" s="33" t="n"/>
      <c r="E160" s="33" t="n"/>
      <c r="F160" s="33" t="n"/>
      <c r="G160" s="33" t="n"/>
    </row>
    <row r="161" ht="29" customHeight="1" s="26">
      <c r="A161" s="30" t="n"/>
      <c r="B161" s="30" t="n"/>
      <c r="C161" s="4" t="n">
        <v>1771744125604</v>
      </c>
      <c r="D161" s="32">
        <f>IMAGE("https://liskibruh.github.io/l4_data_sheets_table_images_mapper/l4_problematic_frames/xl/media/image119.png")</f>
        <v/>
      </c>
      <c r="E161" s="32">
        <f>IMAGE("https://liskibruh.github.io/l4_data_sheets_table_images_mapper/l4_problematic_frames/xl/media/image120.png")</f>
        <v/>
      </c>
      <c r="F161" s="30" t="n"/>
      <c r="G161" s="27" t="inlineStr">
        <is>
          <t>Truck labelled as car + false positive static object</t>
        </is>
      </c>
    </row>
    <row r="162" ht="59" customHeight="1" s="26">
      <c r="A162" s="33" t="n"/>
      <c r="B162" s="33" t="n"/>
      <c r="C162" s="7" t="inlineStr">
        <is>
          <t>1771744126405 - 1771744127205</t>
        </is>
      </c>
      <c r="D162" s="33" t="n"/>
      <c r="E162" s="33" t="n"/>
      <c r="F162" s="33" t="n"/>
      <c r="G162" s="33" t="n"/>
    </row>
    <row r="163" ht="17" customHeight="1" s="26">
      <c r="A163" s="30" t="n"/>
      <c r="B163" s="30" t="n"/>
      <c r="C163" s="27" t="inlineStr">
        <is>
          <t>1771744144205 - 1771744144804</t>
        </is>
      </c>
      <c r="D163" s="32">
        <f>IMAGE("https://liskibruh.github.io/l4_data_sheets_table_images_mapper/l4_problematic_frames/xl/media/image121.png")</f>
        <v/>
      </c>
      <c r="E163" s="32">
        <f>IMAGE("https://liskibruh.github.io/l4_data_sheets_table_images_mapper/l4_problematic_frames/xl/media/image122.png")</f>
        <v/>
      </c>
      <c r="F163" s="30" t="n"/>
      <c r="G163" s="27" t="inlineStr">
        <is>
          <t>Wrong truck orientation</t>
        </is>
      </c>
    </row>
    <row r="164" ht="17" customHeight="1" s="26">
      <c r="A164" s="34" t="n"/>
      <c r="B164" s="34" t="n"/>
      <c r="C164" s="34" t="n"/>
      <c r="D164" s="34" t="n"/>
      <c r="E164" s="34" t="n"/>
      <c r="F164" s="34" t="n"/>
      <c r="G164" s="34" t="n"/>
    </row>
    <row r="165" ht="17" customHeight="1" s="26">
      <c r="A165" s="34" t="n"/>
      <c r="B165" s="34" t="n"/>
      <c r="C165" s="34" t="n"/>
      <c r="D165" s="34" t="n"/>
      <c r="E165" s="34" t="n"/>
      <c r="F165" s="34" t="n"/>
      <c r="G165" s="34" t="n"/>
    </row>
    <row r="166" ht="17" customHeight="1" s="26">
      <c r="A166" s="33" t="n"/>
      <c r="B166" s="33" t="n"/>
      <c r="C166" s="33" t="n"/>
      <c r="D166" s="33" t="n"/>
      <c r="E166" s="33" t="n"/>
      <c r="F166" s="33" t="n"/>
      <c r="G166" s="33" t="n"/>
    </row>
    <row r="167" ht="27" customHeight="1" s="26">
      <c r="A167" s="30" t="n"/>
      <c r="B167" s="30" t="n"/>
      <c r="C167" s="27" t="n">
        <v>1771744176104</v>
      </c>
      <c r="D167" s="32">
        <f>IMAGE("https://liskibruh.github.io/l4_data_sheets_table_images_mapper/l4_problematic_frames/xl/media/image123.png")</f>
        <v/>
      </c>
      <c r="E167" s="30" t="n"/>
      <c r="F167" s="30" t="n"/>
      <c r="G167" s="27" t="inlineStr">
        <is>
          <t>Missing static objects</t>
        </is>
      </c>
    </row>
    <row r="168" ht="17" customHeight="1" s="26">
      <c r="A168" s="33" t="n"/>
      <c r="B168" s="33" t="n"/>
      <c r="C168" s="33" t="n"/>
      <c r="D168" s="33" t="n"/>
      <c r="E168" s="33" t="n"/>
      <c r="F168" s="33" t="n"/>
      <c r="G168" s="33" t="n"/>
    </row>
    <row r="169" ht="27" customHeight="1" s="26">
      <c r="A169" s="30" t="n"/>
      <c r="B169" s="30" t="n"/>
      <c r="C169" s="27" t="n">
        <v>1771744287204</v>
      </c>
      <c r="D169" s="32">
        <f>IMAGE("https://liskibruh.github.io/l4_data_sheets_table_images_mapper/l4_problematic_frames/xl/media/image124.png")</f>
        <v/>
      </c>
      <c r="E169" s="30" t="n"/>
      <c r="F169" s="30" t="n"/>
      <c r="G169" s="27" t="inlineStr">
        <is>
          <t>Missing truck detection</t>
        </is>
      </c>
    </row>
    <row r="170" ht="17" customHeight="1" s="26">
      <c r="A170" s="33" t="n"/>
      <c r="B170" s="33" t="n"/>
      <c r="C170" s="33" t="n"/>
      <c r="D170" s="33" t="n"/>
      <c r="E170" s="33" t="n"/>
      <c r="F170" s="33" t="n"/>
      <c r="G170" s="33" t="n"/>
    </row>
    <row r="171" ht="27" customHeight="1" s="26">
      <c r="A171" s="30" t="n"/>
      <c r="B171" s="30" t="n"/>
      <c r="C171" s="27" t="n">
        <v>1771744289205</v>
      </c>
      <c r="D171" s="32">
        <f>IMAGE("https://liskibruh.github.io/l4_data_sheets_table_images_mapper/l4_problematic_frames/xl/media/image125.png")</f>
        <v/>
      </c>
      <c r="E171" s="30" t="n"/>
      <c r="F171" s="30" t="n"/>
      <c r="G171" s="27" t="inlineStr">
        <is>
          <t>Wrong truck orientation</t>
        </is>
      </c>
    </row>
    <row r="172" ht="17" customHeight="1" s="26">
      <c r="A172" s="33" t="n"/>
      <c r="B172" s="33" t="n"/>
      <c r="C172" s="33" t="n"/>
      <c r="D172" s="33" t="n"/>
      <c r="E172" s="33" t="n"/>
      <c r="F172" s="33" t="n"/>
      <c r="G172" s="33" t="n"/>
    </row>
    <row r="173" ht="27" customHeight="1" s="26">
      <c r="A173" s="30" t="n"/>
      <c r="B173" s="30" t="n"/>
      <c r="C173" s="27" t="n">
        <v>1771744355504</v>
      </c>
      <c r="D173" s="32">
        <f>IMAGE("https://liskibruh.github.io/l4_data_sheets_table_images_mapper/l4_problematic_frames/xl/media/image126.png")</f>
        <v/>
      </c>
      <c r="E173" s="30" t="n"/>
      <c r="F173" s="30" t="n"/>
      <c r="G173" s="27" t="inlineStr">
        <is>
          <t>Misclassification of truck as car</t>
        </is>
      </c>
    </row>
    <row r="174" ht="17" customHeight="1" s="26">
      <c r="A174" s="33" t="n"/>
      <c r="B174" s="33" t="n"/>
      <c r="C174" s="33" t="n"/>
      <c r="D174" s="33" t="n"/>
      <c r="E174" s="33" t="n"/>
      <c r="F174" s="33" t="n"/>
      <c r="G174" s="33" t="n"/>
    </row>
    <row r="175" ht="41" customHeight="1" s="26">
      <c r="A175" s="30" t="n"/>
      <c r="B175" s="30" t="n"/>
      <c r="C175" s="27" t="inlineStr">
        <is>
          <t>1771744474805 - 1771744476204</t>
        </is>
      </c>
      <c r="D175" s="32">
        <f>IMAGE("https://liskibruh.github.io/l4_data_sheets_table_images_mapper/l4_problematic_frames/xl/media/image127.png")</f>
        <v/>
      </c>
      <c r="E175" s="32">
        <f>IMAGE("https://liskibruh.github.io/l4_data_sheets_table_images_mapper/l4_problematic_frames/xl/media/image128.png")</f>
        <v/>
      </c>
      <c r="F175" s="30" t="n"/>
      <c r="G175" s="27" t="inlineStr">
        <is>
          <t>Missing car detection</t>
        </is>
      </c>
    </row>
    <row r="176" ht="17" customHeight="1" s="26">
      <c r="A176" s="33" t="n"/>
      <c r="B176" s="33" t="n"/>
      <c r="C176" s="33" t="n"/>
      <c r="D176" s="33" t="n"/>
      <c r="E176" s="33" t="n"/>
      <c r="F176" s="33" t="n"/>
      <c r="G176" s="33" t="n"/>
    </row>
    <row r="177" ht="41" customHeight="1" s="26">
      <c r="A177" s="30" t="n"/>
      <c r="B177" s="30" t="n"/>
      <c r="C177" s="27" t="n">
        <v>1771744480104</v>
      </c>
      <c r="D177" s="32">
        <f>IMAGE("https://liskibruh.github.io/l4_data_sheets_table_images_mapper/l4_problematic_frames/xl/media/image129.png")</f>
        <v/>
      </c>
      <c r="E177" s="30" t="n"/>
      <c r="F177" s="30" t="n"/>
      <c r="G177" s="27" t="inlineStr">
        <is>
          <t>Maybe wrong person detection</t>
        </is>
      </c>
    </row>
    <row r="178" ht="17" customHeight="1" s="26">
      <c r="A178" s="33" t="n"/>
      <c r="B178" s="33" t="n"/>
      <c r="C178" s="33" t="n"/>
      <c r="D178" s="33" t="n"/>
      <c r="E178" s="33" t="n"/>
      <c r="F178" s="33" t="n"/>
      <c r="G178" s="33" t="n"/>
    </row>
    <row r="179" ht="41" customHeight="1" s="26">
      <c r="A179" s="30" t="n"/>
      <c r="B179" s="30" t="n"/>
      <c r="C179" s="27" t="inlineStr">
        <is>
          <t>1771744489404-1771744491705</t>
        </is>
      </c>
      <c r="D179" s="32">
        <f>IMAGE("https://liskibruh.github.io/l4_data_sheets_table_images_mapper/l4_problematic_frames/xl/media/image130.png")</f>
        <v/>
      </c>
      <c r="E179" s="32">
        <f>IMAGE("https://liskibruh.github.io/l4_data_sheets_table_images_mapper/l4_problematic_frames/xl/media/image131.png")</f>
        <v/>
      </c>
      <c r="F179" s="30" t="n"/>
      <c r="G179" s="27" t="inlineStr">
        <is>
          <t>Missing truck</t>
        </is>
      </c>
    </row>
    <row r="180" ht="17" customHeight="1" s="26">
      <c r="A180" s="33" t="n"/>
      <c r="B180" s="33" t="n"/>
      <c r="C180" s="33" t="n"/>
      <c r="D180" s="33" t="n"/>
      <c r="E180" s="33" t="n"/>
      <c r="F180" s="33" t="n"/>
      <c r="G180" s="33" t="n"/>
    </row>
    <row r="181" ht="55" customHeight="1" s="26">
      <c r="A181" s="30" t="n"/>
      <c r="B181" s="30" t="n"/>
      <c r="C181" s="27" t="inlineStr">
        <is>
          <t>1771744488505.png - 1771744488904.png</t>
        </is>
      </c>
      <c r="D181" s="32">
        <f>IMAGE("https://liskibruh.github.io/l4_data_sheets_table_images_mapper/l4_problematic_frames/xl/media/image132.png")</f>
        <v/>
      </c>
      <c r="E181" s="32">
        <f>IMAGE("https://liskibruh.github.io/l4_data_sheets_table_images_mapper/l4_problematic_frames/xl/media/image133.png")</f>
        <v/>
      </c>
      <c r="F181" s="30" t="n"/>
      <c r="G181" s="27" t="inlineStr">
        <is>
          <t>Missing static object</t>
        </is>
      </c>
    </row>
    <row r="182" ht="17" customHeight="1" s="26">
      <c r="A182" s="33" t="n"/>
      <c r="B182" s="33" t="n"/>
      <c r="C182" s="33" t="n"/>
      <c r="D182" s="33" t="n"/>
      <c r="E182" s="33" t="n"/>
      <c r="F182" s="33" t="n"/>
      <c r="G182" s="33" t="n"/>
    </row>
    <row r="183" ht="41" customHeight="1" s="26">
      <c r="A183" s="30" t="n"/>
      <c r="B183" s="30" t="n"/>
      <c r="C183" s="27" t="inlineStr">
        <is>
          <t>1771744492704 - 1771744495305</t>
        </is>
      </c>
      <c r="D183" s="32">
        <f>IMAGE("https://liskibruh.github.io/l4_data_sheets_table_images_mapper/l4_problematic_frames/xl/media/image134.png")</f>
        <v/>
      </c>
      <c r="E183" s="32">
        <f>IMAGE("https://liskibruh.github.io/l4_data_sheets_table_images_mapper/l4_problematic_frames/xl/media/image135.png")</f>
        <v/>
      </c>
      <c r="F183" s="30" t="n"/>
      <c r="G183" s="27" t="inlineStr">
        <is>
          <t>Missing truck</t>
        </is>
      </c>
    </row>
    <row r="184" ht="17" customHeight="1" s="26">
      <c r="A184" s="33" t="n"/>
      <c r="B184" s="33" t="n"/>
      <c r="C184" s="33" t="n"/>
      <c r="D184" s="33" t="n"/>
      <c r="E184" s="33" t="n"/>
      <c r="F184" s="33" t="n"/>
      <c r="G184" s="33" t="n"/>
    </row>
    <row r="185" ht="41" customHeight="1" s="26">
      <c r="A185" s="30" t="n"/>
      <c r="B185" s="30" t="n"/>
      <c r="C185" s="27" t="inlineStr">
        <is>
          <t>1771744500104 - 1771744503105</t>
        </is>
      </c>
      <c r="D185" s="32">
        <f>IMAGE("https://liskibruh.github.io/l4_data_sheets_table_images_mapper/l4_problematic_frames/xl/media/image136.png")</f>
        <v/>
      </c>
      <c r="E185" s="32">
        <f>IMAGE("https://liskibruh.github.io/l4_data_sheets_table_images_mapper/l4_problematic_frames/xl/media/image137.png")</f>
        <v/>
      </c>
      <c r="F185" s="30" t="n"/>
      <c r="G185" s="27" t="inlineStr">
        <is>
          <t>Missing pedestrian</t>
        </is>
      </c>
    </row>
    <row r="186" ht="17" customHeight="1" s="26">
      <c r="A186" s="33" t="n"/>
      <c r="B186" s="33" t="n"/>
      <c r="C186" s="33" t="n"/>
      <c r="D186" s="33" t="n"/>
      <c r="E186" s="33" t="n"/>
      <c r="F186" s="33" t="n"/>
      <c r="G186" s="33" t="n"/>
    </row>
    <row r="187" ht="27" customHeight="1" s="26">
      <c r="A187" s="30" t="n"/>
      <c r="B187" s="30" t="n"/>
      <c r="C187" s="27" t="n">
        <v>1771744503704</v>
      </c>
      <c r="D187" s="32">
        <f>IMAGE("https://liskibruh.github.io/l4_data_sheets_table_images_mapper/l4_problematic_frames/xl/media/image138.png")</f>
        <v/>
      </c>
      <c r="E187" s="30" t="n"/>
      <c r="F187" s="30" t="n"/>
      <c r="G187" s="27" t="inlineStr">
        <is>
          <t>Missing static object</t>
        </is>
      </c>
    </row>
    <row r="188" ht="17" customHeight="1" s="26">
      <c r="A188" s="33" t="n"/>
      <c r="B188" s="33" t="n"/>
      <c r="C188" s="33" t="n"/>
      <c r="D188" s="33" t="n"/>
      <c r="E188" s="33" t="n"/>
      <c r="F188" s="33" t="n"/>
      <c r="G188" s="33" t="n"/>
    </row>
    <row r="189" ht="41" customHeight="1" s="26">
      <c r="A189" s="30" t="n"/>
      <c r="B189" s="30" t="n"/>
      <c r="C189" s="27" t="inlineStr">
        <is>
          <t>1771744504104 - 1771744504905</t>
        </is>
      </c>
      <c r="D189" s="32">
        <f>IMAGE("https://liskibruh.github.io/l4_data_sheets_table_images_mapper/l4_problematic_frames/xl/media/image139.png")</f>
        <v/>
      </c>
      <c r="E189" s="30" t="n"/>
      <c r="F189" s="30" t="n"/>
      <c r="G189" s="27" t="inlineStr">
        <is>
          <t>Missing pedestrian + truck (range)</t>
        </is>
      </c>
    </row>
    <row r="190" ht="17" customHeight="1" s="26">
      <c r="A190" s="33" t="n"/>
      <c r="B190" s="33" t="n"/>
      <c r="C190" s="33" t="n"/>
      <c r="D190" s="33" t="n"/>
      <c r="E190" s="33" t="n"/>
      <c r="F190" s="33" t="n"/>
      <c r="G190" s="33" t="n"/>
    </row>
    <row r="191" ht="41" customHeight="1" s="26">
      <c r="A191" s="30" t="n"/>
      <c r="B191" s="30" t="n"/>
      <c r="C191" s="27" t="inlineStr">
        <is>
          <t>1771744505305 - 1771744507304</t>
        </is>
      </c>
      <c r="D191" s="32">
        <f>IMAGE("https://liskibruh.github.io/l4_data_sheets_table_images_mapper/l4_problematic_frames/xl/media/image140.png")</f>
        <v/>
      </c>
      <c r="E191" s="30" t="n"/>
      <c r="F191" s="30" t="n"/>
      <c r="G191" s="27" t="inlineStr">
        <is>
          <t>Missing static object</t>
        </is>
      </c>
    </row>
    <row r="192" ht="17" customHeight="1" s="26">
      <c r="A192" s="33" t="n"/>
      <c r="B192" s="33" t="n"/>
      <c r="C192" s="33" t="n"/>
      <c r="D192" s="33" t="n"/>
      <c r="E192" s="33" t="n"/>
      <c r="F192" s="33" t="n"/>
      <c r="G192" s="33" t="n"/>
    </row>
    <row r="193" ht="27" customHeight="1" s="26">
      <c r="A193" s="30" t="n"/>
      <c r="B193" s="30" t="n"/>
      <c r="C193" s="27" t="n">
        <v>1771744508204</v>
      </c>
      <c r="D193" s="32">
        <f>IMAGE("https://liskibruh.github.io/l4_data_sheets_table_images_mapper/l4_problematic_frames/xl/media/image141.png")</f>
        <v/>
      </c>
      <c r="E193" s="30" t="n"/>
      <c r="F193" s="30" t="n"/>
      <c r="G193" s="27" t="inlineStr">
        <is>
          <t>Missing static object</t>
        </is>
      </c>
    </row>
    <row r="194" ht="17" customHeight="1" s="26">
      <c r="A194" s="33" t="n"/>
      <c r="B194" s="33" t="n"/>
      <c r="C194" s="33" t="n"/>
      <c r="D194" s="33" t="n"/>
      <c r="E194" s="33" t="n"/>
      <c r="F194" s="33" t="n"/>
      <c r="G194" s="33" t="n"/>
    </row>
    <row r="195" ht="17" customHeight="1" s="26">
      <c r="A195" s="30" t="n"/>
      <c r="B195" s="30" t="n"/>
      <c r="C195" s="30" t="n"/>
      <c r="D195" s="30" t="n"/>
      <c r="E195" s="30" t="n"/>
      <c r="F195" s="30" t="n"/>
      <c r="G195" s="30" t="n"/>
    </row>
    <row r="196" ht="17" customHeight="1" s="26">
      <c r="A196" s="33" t="n"/>
      <c r="B196" s="33" t="n"/>
      <c r="C196" s="33" t="n"/>
      <c r="D196" s="33" t="n"/>
      <c r="E196" s="33" t="n"/>
      <c r="F196" s="33" t="n"/>
      <c r="G196" s="33" t="n"/>
    </row>
    <row r="197" ht="27" customHeight="1" s="26">
      <c r="A197" s="30" t="n"/>
      <c r="B197" s="30" t="n"/>
      <c r="C197" s="27" t="n">
        <v>1771834095205</v>
      </c>
      <c r="D197" s="32">
        <f>IMAGE("https://liskibruh.github.io/l4_data_sheets_table_images_mapper/l4_problematic_frames/xl/media/image142.png")</f>
        <v/>
      </c>
      <c r="E197" s="30" t="n"/>
      <c r="F197" s="30" t="n"/>
      <c r="G197" s="27" t="inlineStr">
        <is>
          <t>Missing static object</t>
        </is>
      </c>
    </row>
    <row r="198" ht="17" customHeight="1" s="26">
      <c r="A198" s="33" t="n"/>
      <c r="B198" s="33" t="n"/>
      <c r="C198" s="33" t="n"/>
      <c r="D198" s="33" t="n"/>
      <c r="E198" s="33" t="n"/>
      <c r="F198" s="33" t="n"/>
      <c r="G198" s="33" t="n"/>
    </row>
    <row r="199" ht="27" customHeight="1" s="26">
      <c r="A199" s="30" t="n"/>
      <c r="B199" s="30" t="n"/>
      <c r="C199" s="27" t="n">
        <v>1771834098505</v>
      </c>
      <c r="D199" s="32">
        <f>IMAGE("https://liskibruh.github.io/l4_data_sheets_table_images_mapper/l4_problematic_frames/xl/media/image143.png")</f>
        <v/>
      </c>
      <c r="E199" s="30" t="n"/>
      <c r="F199" s="30" t="n"/>
      <c r="G199" s="27" t="inlineStr">
        <is>
          <t>Missing static object</t>
        </is>
      </c>
    </row>
    <row r="200" ht="17" customHeight="1" s="26">
      <c r="A200" s="33" t="n"/>
      <c r="B200" s="33" t="n"/>
      <c r="C200" s="33" t="n"/>
      <c r="D200" s="33" t="n"/>
      <c r="E200" s="33" t="n"/>
      <c r="F200" s="33" t="n"/>
      <c r="G200" s="33" t="n"/>
    </row>
    <row r="201" ht="17" customHeight="1" s="26">
      <c r="A201" s="30" t="n"/>
      <c r="B201" s="30" t="n"/>
      <c r="C201" s="30" t="n"/>
      <c r="D201" s="30" t="n"/>
      <c r="E201" s="30" t="n"/>
      <c r="F201" s="30" t="n"/>
      <c r="G201" s="30" t="n"/>
    </row>
    <row r="202" ht="17" customHeight="1" s="26">
      <c r="A202" s="33" t="n"/>
      <c r="B202" s="33" t="n"/>
      <c r="C202" s="33" t="n"/>
      <c r="D202" s="33" t="n"/>
      <c r="E202" s="33" t="n"/>
      <c r="F202" s="33" t="n"/>
      <c r="G202" s="33" t="n"/>
    </row>
    <row r="203" ht="17" customHeight="1" s="26">
      <c r="A203" s="30" t="n"/>
      <c r="B203" s="30" t="n"/>
      <c r="C203" s="27" t="n">
        <v>1771834133004</v>
      </c>
      <c r="D203" s="32">
        <f>IMAGE("https://liskibruh.github.io/l4_data_sheets_table_images_mapper/l4_problematic_frames/xl/media/image144.png")</f>
        <v/>
      </c>
      <c r="E203" s="30" t="n"/>
      <c r="F203" s="30" t="n"/>
      <c r="G203" s="27" t="inlineStr">
        <is>
          <t>Missing truck</t>
        </is>
      </c>
    </row>
    <row r="204" ht="17" customHeight="1" s="26">
      <c r="A204" s="33" t="n"/>
      <c r="B204" s="33" t="n"/>
      <c r="C204" s="33" t="n"/>
      <c r="D204" s="33" t="n"/>
      <c r="E204" s="33" t="n"/>
      <c r="F204" s="33" t="n"/>
      <c r="G204" s="33" t="n"/>
    </row>
    <row r="205" ht="17" customHeight="1" s="26">
      <c r="A205" s="30" t="n"/>
      <c r="B205" s="30" t="n"/>
      <c r="C205" s="27" t="n">
        <v>1771834133505</v>
      </c>
      <c r="D205" s="32">
        <f>IMAGE("https://liskibruh.github.io/l4_data_sheets_table_images_mapper/l4_problematic_frames/xl/media/image145.png")</f>
        <v/>
      </c>
      <c r="E205" s="30" t="n"/>
      <c r="F205" s="30" t="n"/>
      <c r="G205" s="27" t="inlineStr">
        <is>
          <t>Missing truck</t>
        </is>
      </c>
    </row>
    <row r="206" ht="17" customHeight="1" s="26">
      <c r="A206" s="33" t="n"/>
      <c r="B206" s="33" t="n"/>
      <c r="C206" s="33" t="n"/>
      <c r="D206" s="33" t="n"/>
      <c r="E206" s="33" t="n"/>
      <c r="F206" s="33" t="n"/>
      <c r="G206" s="33" t="n"/>
    </row>
    <row r="207" ht="17" customHeight="1" s="26">
      <c r="A207" s="30" t="n"/>
      <c r="B207" s="30" t="n"/>
      <c r="C207" s="27" t="n">
        <v>1771834134604</v>
      </c>
      <c r="D207" s="32">
        <f>IMAGE("https://liskibruh.github.io/l4_data_sheets_table_images_mapper/l4_problematic_frames/xl/media/image146.png")</f>
        <v/>
      </c>
      <c r="E207" s="30" t="n"/>
      <c r="F207" s="30" t="n"/>
      <c r="G207" s="27" t="inlineStr">
        <is>
          <t>Missing car</t>
        </is>
      </c>
    </row>
    <row r="208" ht="17" customHeight="1" s="26">
      <c r="A208" s="33" t="n"/>
      <c r="B208" s="33" t="n"/>
      <c r="C208" s="33" t="n"/>
      <c r="D208" s="33" t="n"/>
      <c r="E208" s="33" t="n"/>
      <c r="F208" s="33" t="n"/>
      <c r="G208" s="33" t="n"/>
    </row>
    <row r="209" ht="27" customHeight="1" s="26">
      <c r="A209" s="30" t="n"/>
      <c r="B209" s="30" t="n"/>
      <c r="C209" s="27" t="n">
        <v>1771834135504</v>
      </c>
      <c r="D209" s="32">
        <f>IMAGE("https://liskibruh.github.io/l4_data_sheets_table_images_mapper/l4_problematic_frames/xl/media/image147.png")</f>
        <v/>
      </c>
      <c r="E209" s="30" t="n"/>
      <c r="F209" s="30" t="n"/>
      <c r="G209" s="27" t="inlineStr">
        <is>
          <t>Missing static object</t>
        </is>
      </c>
    </row>
    <row r="210" ht="17" customHeight="1" s="26">
      <c r="A210" s="33" t="n"/>
      <c r="B210" s="33" t="n"/>
      <c r="C210" s="33" t="n"/>
      <c r="D210" s="33" t="n"/>
      <c r="E210" s="33" t="n"/>
      <c r="F210" s="33" t="n"/>
      <c r="G210" s="33" t="n"/>
    </row>
    <row r="211" ht="17" customHeight="1" s="26">
      <c r="A211" s="30" t="n"/>
      <c r="B211" s="30" t="n"/>
      <c r="C211" s="27" t="n">
        <v>1771834135905</v>
      </c>
      <c r="D211" s="27" t="inlineStr">
        <is>
          <t>msad</t>
        </is>
      </c>
      <c r="E211" s="30" t="n"/>
      <c r="F211" s="30" t="n"/>
      <c r="G211" s="30" t="n"/>
    </row>
    <row r="212" ht="17" customHeight="1" s="26">
      <c r="A212" s="33" t="n"/>
      <c r="B212" s="33" t="n"/>
      <c r="C212" s="33" t="n"/>
      <c r="D212" s="33" t="n"/>
      <c r="E212" s="33" t="n"/>
      <c r="F212" s="33" t="n"/>
      <c r="G212" s="33" t="n"/>
    </row>
    <row r="213" ht="17" customHeight="1" s="26">
      <c r="A213" s="30" t="n"/>
      <c r="B213" s="30" t="n"/>
      <c r="C213" s="30" t="n"/>
      <c r="D213" s="30" t="n"/>
      <c r="E213" s="30" t="n"/>
      <c r="F213" s="30" t="n"/>
      <c r="G213" s="30" t="n"/>
    </row>
    <row r="214" ht="17" customHeight="1" s="26">
      <c r="A214" s="33" t="n"/>
      <c r="B214" s="33" t="n"/>
      <c r="C214" s="33" t="n"/>
      <c r="D214" s="33" t="n"/>
      <c r="E214" s="33" t="n"/>
      <c r="F214" s="33" t="n"/>
      <c r="G214" s="33" t="n"/>
    </row>
    <row r="215" ht="72" customHeight="1" s="26">
      <c r="A215" s="30" t="n"/>
      <c r="B215" s="30" t="n"/>
      <c r="C215" s="27" t="inlineStr">
        <is>
          <t>1771834140604 - 1771834145504</t>
        </is>
      </c>
      <c r="D215" s="32">
        <f>IMAGE("https://liskibruh.github.io/l4_data_sheets_table_images_mapper/l4_problematic_frames/xl/media/image148.png")</f>
        <v/>
      </c>
      <c r="E215" s="30" t="n"/>
      <c r="F215" s="30" t="n"/>
      <c r="G215" s="4" t="inlineStr">
        <is>
          <t>Misclassifying static object as cyclist (range)</t>
        </is>
      </c>
    </row>
    <row r="216" ht="73" customHeight="1" s="26">
      <c r="A216" s="33" t="n"/>
      <c r="B216" s="33" t="n"/>
      <c r="C216" s="33" t="n"/>
      <c r="D216" s="33" t="n"/>
      <c r="E216" s="33" t="n"/>
      <c r="F216" s="33" t="n"/>
      <c r="G216" s="7" t="inlineStr">
        <is>
          <t>Also static object missing in 1771834145004</t>
        </is>
      </c>
    </row>
    <row r="217" ht="41" customHeight="1" s="26">
      <c r="A217" s="30" t="n"/>
      <c r="B217" s="30" t="n"/>
      <c r="C217" s="27" t="n">
        <v>1771834148004</v>
      </c>
      <c r="D217" s="32">
        <f>IMAGE("https://liskibruh.github.io/l4_data_sheets_table_images_mapper/l4_problematic_frames/xl/media/image149.png")</f>
        <v/>
      </c>
      <c r="E217" s="30" t="n"/>
      <c r="F217" s="30" t="n"/>
      <c r="G217" s="27" t="inlineStr">
        <is>
          <t>Missing truck + static object</t>
        </is>
      </c>
    </row>
    <row r="218" ht="17" customHeight="1" s="26">
      <c r="A218" s="33" t="n"/>
      <c r="B218" s="33" t="n"/>
      <c r="C218" s="33" t="n"/>
      <c r="D218" s="33" t="n"/>
      <c r="E218" s="33" t="n"/>
      <c r="F218" s="33" t="n"/>
      <c r="G218" s="33" t="n"/>
    </row>
    <row r="219" ht="41" customHeight="1" s="26">
      <c r="A219" s="30" t="n"/>
      <c r="B219" s="30" t="n"/>
      <c r="C219" s="27" t="n">
        <v>1771834149505</v>
      </c>
      <c r="D219" s="32">
        <f>IMAGE("https://liskibruh.github.io/l4_data_sheets_table_images_mapper/l4_problematic_frames/xl/media/image150.png")</f>
        <v/>
      </c>
      <c r="E219" s="30" t="n"/>
      <c r="F219" s="30" t="n"/>
      <c r="G219" s="27" t="inlineStr">
        <is>
          <t>Missing truck + static object</t>
        </is>
      </c>
    </row>
    <row r="220" ht="17" customHeight="1" s="26">
      <c r="A220" s="33" t="n"/>
      <c r="B220" s="33" t="n"/>
      <c r="C220" s="33" t="n"/>
      <c r="D220" s="33" t="n"/>
      <c r="E220" s="33" t="n"/>
      <c r="F220" s="33" t="n"/>
      <c r="G220" s="33" t="n"/>
    </row>
    <row r="221" ht="41" customHeight="1" s="26">
      <c r="A221" s="30" t="n"/>
      <c r="B221" s="30" t="n"/>
      <c r="C221" s="27" t="inlineStr">
        <is>
          <t>1771834150005 - 1771834151504</t>
        </is>
      </c>
      <c r="D221" s="32">
        <f>IMAGE("https://liskibruh.github.io/l4_data_sheets_table_images_mapper/l4_problematic_frames/xl/media/image151.png")</f>
        <v/>
      </c>
      <c r="E221" s="30" t="n"/>
      <c r="F221" s="30" t="n"/>
      <c r="G221" s="27" t="inlineStr">
        <is>
          <t>Missing truck</t>
        </is>
      </c>
    </row>
    <row r="222" ht="17" customHeight="1" s="26">
      <c r="A222" s="33" t="n"/>
      <c r="B222" s="33" t="n"/>
      <c r="C222" s="33" t="n"/>
      <c r="D222" s="33" t="n"/>
      <c r="E222" s="33" t="n"/>
      <c r="F222" s="33" t="n"/>
      <c r="G222" s="33" t="n"/>
    </row>
    <row r="223" ht="27" customHeight="1" s="26">
      <c r="A223" s="30" t="n"/>
      <c r="B223" s="30" t="n"/>
      <c r="C223" s="27" t="n">
        <v>1771834153504</v>
      </c>
      <c r="D223" s="32">
        <f>IMAGE("https://liskibruh.github.io/l4_data_sheets_table_images_mapper/l4_problematic_frames/xl/media/image152.png")</f>
        <v/>
      </c>
      <c r="E223" s="30" t="n"/>
      <c r="F223" s="30" t="n"/>
      <c r="G223" s="27" t="inlineStr">
        <is>
          <t>Missing static object</t>
        </is>
      </c>
    </row>
    <row r="224" ht="17" customHeight="1" s="26">
      <c r="A224" s="33" t="n"/>
      <c r="B224" s="33" t="n"/>
      <c r="C224" s="33" t="n"/>
      <c r="D224" s="33" t="n"/>
      <c r="E224" s="33" t="n"/>
      <c r="F224" s="33" t="n"/>
      <c r="G224" s="33" t="n"/>
    </row>
    <row r="225" ht="17" customHeight="1" s="26">
      <c r="A225" s="30" t="n"/>
      <c r="B225" s="30" t="n"/>
      <c r="C225" s="27" t="n">
        <v>1771834154304</v>
      </c>
      <c r="D225" s="32">
        <f>IMAGE("https://liskibruh.github.io/l4_data_sheets_table_images_mapper/l4_problematic_frames/xl/media/image153.png")</f>
        <v/>
      </c>
      <c r="E225" s="30" t="n"/>
      <c r="F225" s="30" t="n"/>
      <c r="G225" s="27" t="inlineStr">
        <is>
          <t>Missing truck</t>
        </is>
      </c>
    </row>
    <row r="226" ht="17" customHeight="1" s="26">
      <c r="A226" s="33" t="n"/>
      <c r="B226" s="33" t="n"/>
      <c r="C226" s="33" t="n"/>
      <c r="D226" s="33" t="n"/>
      <c r="E226" s="33" t="n"/>
      <c r="F226" s="33" t="n"/>
      <c r="G226" s="33" t="n"/>
    </row>
    <row r="227" ht="17" customHeight="1" s="26">
      <c r="A227" s="30" t="n"/>
      <c r="B227" s="30" t="n"/>
      <c r="C227" s="4" t="n">
        <v>1771834157704</v>
      </c>
      <c r="D227" s="32">
        <f>IMAGE("https://liskibruh.github.io/l4_data_sheets_table_images_mapper/l4_problematic_frames/xl/media/image154.png")</f>
        <v/>
      </c>
      <c r="E227" s="32">
        <f>IMAGE("https://liskibruh.github.io/l4_data_sheets_table_images_mapper/l4_problematic_frames/xl/media/image155.png")</f>
        <v/>
      </c>
      <c r="F227" s="32">
        <f>IMAGE("https://liskibruh.github.io/l4_data_sheets_table_images_mapper/l4_problematic_frames/xl/media/image154.png")</f>
        <v/>
      </c>
      <c r="G227" s="27" t="inlineStr">
        <is>
          <t>Missing static object</t>
        </is>
      </c>
    </row>
    <row r="228" ht="17" customHeight="1" s="26">
      <c r="A228" s="34" t="n"/>
      <c r="B228" s="34" t="n"/>
      <c r="C228" s="10" t="n">
        <v>1771834156404</v>
      </c>
      <c r="D228" s="34" t="n"/>
      <c r="E228" s="34" t="n"/>
      <c r="F228" s="34" t="n"/>
      <c r="G228" s="34" t="n"/>
    </row>
    <row r="229" ht="17" customHeight="1" s="26">
      <c r="A229" s="34" t="n"/>
      <c r="B229" s="34" t="n"/>
      <c r="C229" s="10" t="n">
        <v>1771834156804</v>
      </c>
      <c r="D229" s="34" t="n"/>
      <c r="E229" s="34" t="n"/>
      <c r="F229" s="34" t="n"/>
      <c r="G229" s="34" t="n"/>
    </row>
    <row r="230" ht="17" customHeight="1" s="26">
      <c r="A230" s="33" t="n"/>
      <c r="B230" s="33" t="n"/>
      <c r="C230" s="7" t="n">
        <v>1771834157704</v>
      </c>
      <c r="D230" s="33" t="n"/>
      <c r="E230" s="33" t="n"/>
      <c r="F230" s="33" t="n"/>
      <c r="G230" s="33" t="n"/>
    </row>
    <row r="231" ht="27" customHeight="1" s="26">
      <c r="A231" s="30" t="n"/>
      <c r="B231" s="30" t="n"/>
      <c r="C231" s="27" t="n">
        <v>1771834177505</v>
      </c>
      <c r="D231" s="32">
        <f>IMAGE("https://liskibruh.github.io/l4_data_sheets_table_images_mapper/l4_problematic_frames/xl/media/image156.png")</f>
        <v/>
      </c>
      <c r="E231" s="30" t="n"/>
      <c r="F231" s="30" t="n"/>
      <c r="G231" s="27" t="inlineStr">
        <is>
          <t>Missing static object</t>
        </is>
      </c>
    </row>
    <row r="232" ht="17" customHeight="1" s="26">
      <c r="A232" s="33" t="n"/>
      <c r="B232" s="33" t="n"/>
      <c r="C232" s="33" t="n"/>
      <c r="D232" s="33" t="n"/>
      <c r="E232" s="33" t="n"/>
      <c r="F232" s="33" t="n"/>
      <c r="G232" s="33" t="n"/>
    </row>
    <row r="233" ht="27" customHeight="1" s="26">
      <c r="A233" s="30" t="n"/>
      <c r="B233" s="30" t="n"/>
      <c r="C233" s="27" t="n">
        <v>1771834213204</v>
      </c>
      <c r="D233" s="32">
        <f>IMAGE("https://liskibruh.github.io/l4_data_sheets_table_images_mapper/l4_problematic_frames/xl/media/image157.png")</f>
        <v/>
      </c>
      <c r="E233" s="30" t="n"/>
      <c r="F233" s="30" t="n"/>
      <c r="G233" s="27" t="inlineStr">
        <is>
          <t>Missing static object</t>
        </is>
      </c>
    </row>
    <row r="234" ht="17" customHeight="1" s="26">
      <c r="A234" s="33" t="n"/>
      <c r="B234" s="33" t="n"/>
      <c r="C234" s="33" t="n"/>
      <c r="D234" s="33" t="n"/>
      <c r="E234" s="33" t="n"/>
      <c r="F234" s="33" t="n"/>
      <c r="G234" s="33" t="n"/>
    </row>
    <row r="235" ht="27" customHeight="1" s="26">
      <c r="A235" s="30" t="n"/>
      <c r="B235" s="30" t="n"/>
      <c r="C235" s="27" t="n">
        <v>1771834240505</v>
      </c>
      <c r="D235" s="32">
        <f>IMAGE("https://liskibruh.github.io/l4_data_sheets_table_images_mapper/l4_problematic_frames/xl/media/image158.png")</f>
        <v/>
      </c>
      <c r="E235" s="30" t="n"/>
      <c r="F235" s="30" t="n"/>
      <c r="G235" s="27" t="inlineStr">
        <is>
          <t>Missing static object</t>
        </is>
      </c>
    </row>
    <row r="236" ht="17" customHeight="1" s="26">
      <c r="A236" s="33" t="n"/>
      <c r="B236" s="33" t="n"/>
      <c r="C236" s="33" t="n"/>
      <c r="D236" s="33" t="n"/>
      <c r="E236" s="33" t="n"/>
      <c r="F236" s="33" t="n"/>
      <c r="G236" s="33" t="n"/>
    </row>
    <row r="237" ht="17" customHeight="1" s="26">
      <c r="A237" s="30" t="n"/>
      <c r="B237" s="30" t="n"/>
      <c r="C237" s="4" t="n">
        <v>1771834268505</v>
      </c>
      <c r="D237" s="32">
        <f>IMAGE("https://liskibruh.github.io/l4_data_sheets_table_images_mapper/l4_problematic_frames/xl/media/image159.png")</f>
        <v/>
      </c>
      <c r="E237" s="30" t="n"/>
      <c r="F237" s="30" t="n"/>
      <c r="G237" s="27" t="inlineStr">
        <is>
          <t>Missing cars</t>
        </is>
      </c>
    </row>
    <row r="238" ht="17" customHeight="1" s="26">
      <c r="A238" s="33" t="n"/>
      <c r="B238" s="33" t="n"/>
      <c r="C238" s="7" t="n">
        <v>1771834269604</v>
      </c>
      <c r="D238" s="33" t="n"/>
      <c r="E238" s="33" t="n"/>
      <c r="F238" s="33" t="n"/>
      <c r="G238" s="33" t="n"/>
    </row>
    <row r="239" ht="27" customHeight="1" s="26">
      <c r="A239" s="30" t="n"/>
      <c r="B239" s="30" t="n"/>
      <c r="C239" s="27" t="n">
        <v>1771834318004</v>
      </c>
      <c r="D239" s="32">
        <f>IMAGE("https://liskibruh.github.io/l4_data_sheets_table_images_mapper/l4_problematic_frames/xl/media/image160.png")</f>
        <v/>
      </c>
      <c r="E239" s="30" t="n"/>
      <c r="F239" s="30" t="n"/>
      <c r="G239" s="27" t="inlineStr">
        <is>
          <t>Missing static object</t>
        </is>
      </c>
    </row>
    <row r="240" ht="17" customHeight="1" s="26">
      <c r="A240" s="33" t="n"/>
      <c r="B240" s="33" t="n"/>
      <c r="C240" s="33" t="n"/>
      <c r="D240" s="33" t="n"/>
      <c r="E240" s="33" t="n"/>
      <c r="F240" s="33" t="n"/>
      <c r="G240" s="33" t="n"/>
    </row>
    <row r="241" ht="27" customHeight="1" s="26">
      <c r="A241" s="30" t="n"/>
      <c r="B241" s="30" t="n"/>
      <c r="C241" s="4" t="n">
        <v>1771834356004</v>
      </c>
      <c r="D241" s="32">
        <f>IMAGE("https://liskibruh.github.io/l4_data_sheets_table_images_mapper/l4_problematic_frames/xl/media/image161.png")</f>
        <v/>
      </c>
      <c r="E241" s="30" t="n"/>
      <c r="F241" s="30" t="n"/>
      <c r="G241" s="27" t="inlineStr">
        <is>
          <t>Missing static object</t>
        </is>
      </c>
    </row>
    <row r="242" ht="17" customHeight="1" s="26">
      <c r="A242" s="33" t="n"/>
      <c r="B242" s="33" t="n"/>
      <c r="C242" s="7" t="n">
        <v>1771834357005</v>
      </c>
      <c r="D242" s="33" t="n"/>
      <c r="E242" s="33" t="n"/>
      <c r="F242" s="33" t="n"/>
      <c r="G242" s="33" t="n"/>
    </row>
    <row r="243" ht="41" customHeight="1" s="26">
      <c r="A243" s="30" t="n"/>
      <c r="B243" s="30" t="n"/>
      <c r="C243" s="27" t="inlineStr">
        <is>
          <t>1771834418805 - 1771834424104</t>
        </is>
      </c>
      <c r="D243" s="32">
        <f>IMAGE("https://liskibruh.github.io/l4_data_sheets_table_images_mapper/l4_problematic_frames/xl/media/image162.png")</f>
        <v/>
      </c>
      <c r="E243" s="30" t="n"/>
      <c r="F243" s="30" t="n"/>
      <c r="G243" s="27" t="inlineStr">
        <is>
          <t>Misclassifying static object as car (range)</t>
        </is>
      </c>
    </row>
    <row r="244" ht="17" customHeight="1" s="26">
      <c r="A244" s="33" t="n"/>
      <c r="B244" s="33" t="n"/>
      <c r="C244" s="33" t="n"/>
      <c r="D244" s="33" t="n"/>
      <c r="E244" s="33" t="n"/>
      <c r="F244" s="33" t="n"/>
      <c r="G244" s="33" t="n"/>
    </row>
    <row r="245" ht="29" customHeight="1" s="26">
      <c r="A245" s="30" t="n"/>
      <c r="B245" s="30" t="n"/>
      <c r="C245" s="4" t="inlineStr">
        <is>
          <t>1771834433604 -</t>
        </is>
      </c>
      <c r="D245" s="32">
        <f>IMAGE("https://liskibruh.github.io/l4_data_sheets_table_images_mapper/l4_problematic_frames/xl/media/image163.png")</f>
        <v/>
      </c>
      <c r="E245" s="30" t="n"/>
      <c r="F245" s="30" t="n"/>
      <c r="G245" s="27" t="inlineStr">
        <is>
          <t>Missing static object</t>
        </is>
      </c>
    </row>
    <row r="246" ht="17" customHeight="1" s="26">
      <c r="A246" s="33" t="n"/>
      <c r="B246" s="33" t="n"/>
      <c r="C246" s="7" t="n">
        <v>1771834434805</v>
      </c>
      <c r="D246" s="33" t="n"/>
      <c r="E246" s="33" t="n"/>
      <c r="F246" s="33" t="n"/>
      <c r="G246" s="33" t="n"/>
    </row>
    <row r="247" ht="57" customHeight="1" s="26">
      <c r="A247" s="30" t="n"/>
      <c r="B247" s="30" t="n"/>
      <c r="C247" s="4" t="inlineStr">
        <is>
          <t>1771834469305 -</t>
        </is>
      </c>
      <c r="D247" s="32">
        <f>IMAGE("https://liskibruh.github.io/l4_data_sheets_table_images_mapper/l4_problematic_frames/xl/media/image164.png")</f>
        <v/>
      </c>
      <c r="E247" s="32">
        <f>IMAGE("https://liskibruh.github.io/l4_data_sheets_table_images_mapper/l4_problematic_frames/xl/media/image165.png")</f>
        <v/>
      </c>
      <c r="F247" s="30" t="n"/>
      <c r="G247" s="4" t="inlineStr">
        <is>
          <t>Wrong truck orientation (range)</t>
        </is>
      </c>
    </row>
    <row r="248" ht="87" customHeight="1" s="26">
      <c r="A248" s="33" t="n"/>
      <c r="B248" s="33" t="n"/>
      <c r="C248" s="7" t="n">
        <v>1771834471104</v>
      </c>
      <c r="D248" s="33" t="n"/>
      <c r="E248" s="33" t="n"/>
      <c r="F248" s="33" t="n"/>
      <c r="G248" s="7" t="inlineStr">
        <is>
          <t>Missing truck + static object in 1771834469904</t>
        </is>
      </c>
    </row>
    <row r="249" ht="69" customHeight="1" s="26">
      <c r="A249" s="30" t="n"/>
      <c r="B249" s="30" t="n"/>
      <c r="C249" s="27" t="inlineStr">
        <is>
          <t>1771834470304 - 1771834471104</t>
        </is>
      </c>
      <c r="D249" s="32">
        <f>IMAGE("https://liskibruh.github.io/l4_data_sheets_table_images_mapper/l4_problematic_frames/xl/media/image165.png")</f>
        <v/>
      </c>
      <c r="E249" s="32">
        <f>IMAGE("https://liskibruh.github.io/l4_data_sheets_table_images_mapper/l4_problematic_frames/xl/media/image166.png")</f>
        <v/>
      </c>
      <c r="F249" s="30" t="n"/>
      <c r="G249" s="27" t="inlineStr">
        <is>
          <t>Missing truck + missing static object (range)</t>
        </is>
      </c>
    </row>
    <row r="250" ht="17" customHeight="1" s="26">
      <c r="A250" s="33" t="n"/>
      <c r="B250" s="33" t="n"/>
      <c r="C250" s="33" t="n"/>
      <c r="D250" s="33" t="n"/>
      <c r="E250" s="33" t="n"/>
      <c r="F250" s="33" t="n"/>
      <c r="G250" s="33" t="n"/>
    </row>
    <row r="251" ht="27" customHeight="1" s="26">
      <c r="A251" s="30" t="n"/>
      <c r="B251" s="30" t="n"/>
      <c r="C251" s="27" t="n">
        <v>1771834471504</v>
      </c>
      <c r="D251" s="32">
        <f>IMAGE("https://liskibruh.github.io/l4_data_sheets_table_images_mapper/l4_problematic_frames/xl/media/image167.png")</f>
        <v/>
      </c>
      <c r="E251" s="30" t="n"/>
      <c r="F251" s="30" t="n"/>
      <c r="G251" s="27" t="inlineStr">
        <is>
          <t>Missing static object</t>
        </is>
      </c>
    </row>
    <row r="252" ht="17" customHeight="1" s="26">
      <c r="A252" s="33" t="n"/>
      <c r="B252" s="33" t="n"/>
      <c r="C252" s="33" t="n"/>
      <c r="D252" s="33" t="n"/>
      <c r="E252" s="33" t="n"/>
      <c r="F252" s="33" t="n"/>
      <c r="G252" s="33" t="n"/>
    </row>
    <row r="253" ht="98" customHeight="1" s="26">
      <c r="A253" s="30" t="n"/>
      <c r="B253" s="30" t="n"/>
      <c r="C253" s="27" t="n">
        <v>1771834471905</v>
      </c>
      <c r="D253" s="32">
        <f>IMAGE("https://liskibruh.github.io/l4_data_sheets_table_images_mapper/l4_problematic_frames/xl/media/image168.png")</f>
        <v/>
      </c>
      <c r="E253" s="30" t="n"/>
      <c r="F253" s="30" t="n"/>
      <c r="G253" s="27" t="inlineStr">
        <is>
          <t>Missing truck + missing static object + worng truck orientation</t>
        </is>
      </c>
    </row>
    <row r="254" ht="17" customHeight="1" s="26">
      <c r="A254" s="33" t="n"/>
      <c r="B254" s="33" t="n"/>
      <c r="C254" s="33" t="n"/>
      <c r="D254" s="33" t="n"/>
      <c r="E254" s="33" t="n"/>
      <c r="F254" s="33" t="n"/>
      <c r="G254" s="33" t="n"/>
    </row>
    <row r="255" ht="27" customHeight="1" s="26">
      <c r="A255" s="30" t="n"/>
      <c r="B255" s="30" t="n"/>
      <c r="C255" s="27" t="n">
        <v>1771834472305</v>
      </c>
      <c r="D255" s="32">
        <f>IMAGE("https://liskibruh.github.io/l4_data_sheets_table_images_mapper/l4_problematic_frames/xl/media/image169.png")</f>
        <v/>
      </c>
      <c r="E255" s="30" t="n"/>
      <c r="F255" s="30" t="n"/>
      <c r="G255" s="27" t="inlineStr">
        <is>
          <t>missing static objects</t>
        </is>
      </c>
    </row>
    <row r="256" ht="17" customHeight="1" s="26">
      <c r="A256" s="33" t="n"/>
      <c r="B256" s="33" t="n"/>
      <c r="C256" s="33" t="n"/>
      <c r="D256" s="33" t="n"/>
      <c r="E256" s="33" t="n"/>
      <c r="F256" s="33" t="n"/>
      <c r="G256" s="33" t="n"/>
    </row>
    <row r="257" ht="98" customHeight="1" s="26">
      <c r="A257" s="30" t="n"/>
      <c r="B257" s="30" t="n"/>
      <c r="C257" s="27" t="inlineStr">
        <is>
          <t>1771834472904 - 1771834474704</t>
        </is>
      </c>
      <c r="D257" s="32">
        <f>IMAGE("https://liskibruh.github.io/l4_data_sheets_table_images_mapper/l4_problematic_frames/xl/media/image170.png")</f>
        <v/>
      </c>
      <c r="E257" s="30" t="n"/>
      <c r="F257" s="30" t="n"/>
      <c r="G257" s="27" t="inlineStr">
        <is>
          <t>Missing static object (range) + wrong truck orientation (range)</t>
        </is>
      </c>
    </row>
    <row r="258" ht="17" customHeight="1" s="26">
      <c r="A258" s="33" t="n"/>
      <c r="B258" s="33" t="n"/>
      <c r="C258" s="33" t="n"/>
      <c r="D258" s="33" t="n"/>
      <c r="E258" s="33" t="n"/>
      <c r="F258" s="33" t="n"/>
      <c r="G258" s="33" t="n"/>
    </row>
    <row r="259" ht="27" customHeight="1" s="26">
      <c r="A259" s="30" t="n"/>
      <c r="B259" s="30" t="n"/>
      <c r="C259" s="27" t="n">
        <v>1771834475204</v>
      </c>
      <c r="D259" s="32">
        <f>IMAGE("https://liskibruh.github.io/l4_data_sheets_table_images_mapper/l4_problematic_frames/xl/media/image171.png")</f>
        <v/>
      </c>
      <c r="E259" s="30" t="n"/>
      <c r="F259" s="30" t="n"/>
      <c r="G259" s="27" t="inlineStr">
        <is>
          <t>missing static object</t>
        </is>
      </c>
    </row>
    <row r="260" ht="17" customHeight="1" s="26">
      <c r="A260" s="33" t="n"/>
      <c r="B260" s="33" t="n"/>
      <c r="C260" s="33" t="n"/>
      <c r="D260" s="33" t="n"/>
      <c r="E260" s="33" t="n"/>
      <c r="F260" s="33" t="n"/>
      <c r="G260" s="33" t="n"/>
    </row>
    <row r="261" ht="69" customHeight="1" s="26">
      <c r="A261" s="30" t="n"/>
      <c r="B261" s="30" t="n"/>
      <c r="C261" s="4" t="n">
        <v>1771834477504</v>
      </c>
      <c r="D261" s="32">
        <f>IMAGE("https://liskibruh.github.io/l4_data_sheets_table_images_mapper/l4_problematic_frames/xl/media/image172.png")</f>
        <v/>
      </c>
      <c r="E261" s="30" t="n"/>
      <c r="F261" s="30" t="n"/>
      <c r="G261" s="27" t="inlineStr">
        <is>
          <t>Wrong truck orientation + missing static object</t>
        </is>
      </c>
    </row>
    <row r="262" ht="17" customHeight="1" s="26">
      <c r="A262" s="33" t="n"/>
      <c r="B262" s="33" t="n"/>
      <c r="C262" s="7" t="n">
        <v>1771834478004</v>
      </c>
      <c r="D262" s="33" t="n"/>
      <c r="E262" s="33" t="n"/>
      <c r="F262" s="33" t="n"/>
      <c r="G262" s="33" t="n"/>
    </row>
    <row r="263" ht="17" customHeight="1" s="26">
      <c r="A263" s="30" t="n"/>
      <c r="B263" s="30" t="n"/>
      <c r="C263" s="4" t="n">
        <v>1771834475705</v>
      </c>
      <c r="D263" s="32">
        <f>IMAGE("https://liskibruh.github.io/l4_data_sheets_table_images_mapper/l4_problematic_frames/xl/media/image173.png")</f>
        <v/>
      </c>
      <c r="E263" s="30" t="n"/>
      <c r="F263" s="30" t="n"/>
      <c r="G263" s="27" t="inlineStr">
        <is>
          <t>Wrong truck orientation</t>
        </is>
      </c>
    </row>
    <row r="264" ht="17" customHeight="1" s="26">
      <c r="A264" s="34" t="n"/>
      <c r="B264" s="34" t="n"/>
      <c r="C264" s="10" t="n">
        <v>1771834476105</v>
      </c>
      <c r="D264" s="34" t="n"/>
      <c r="E264" s="34" t="n"/>
      <c r="F264" s="34" t="n"/>
      <c r="G264" s="34" t="n"/>
    </row>
    <row r="265" ht="17" customHeight="1" s="26">
      <c r="A265" s="34" t="n"/>
      <c r="B265" s="34" t="n"/>
      <c r="C265" s="10" t="n">
        <v>1771834476604</v>
      </c>
      <c r="D265" s="34" t="n"/>
      <c r="E265" s="34" t="n"/>
      <c r="F265" s="34" t="n"/>
      <c r="G265" s="34" t="n"/>
    </row>
    <row r="266" ht="17" customHeight="1" s="26">
      <c r="A266" s="34" t="n"/>
      <c r="B266" s="34" t="n"/>
      <c r="C266" s="10" t="n">
        <v>1771834477004</v>
      </c>
      <c r="D266" s="34" t="n"/>
      <c r="E266" s="34" t="n"/>
      <c r="F266" s="34" t="n"/>
      <c r="G266" s="34" t="n"/>
    </row>
    <row r="267" ht="17" customHeight="1" s="26">
      <c r="A267" s="33" t="n"/>
      <c r="B267" s="33" t="n"/>
      <c r="C267" s="7" t="n">
        <v>1771834478505</v>
      </c>
      <c r="D267" s="33" t="n"/>
      <c r="E267" s="33" t="n"/>
      <c r="F267" s="33" t="n"/>
      <c r="G267" s="33" t="n"/>
    </row>
    <row r="268" ht="17" customHeight="1" s="26">
      <c r="A268" s="30" t="n"/>
      <c r="B268" s="30" t="n"/>
      <c r="C268" s="30" t="n"/>
      <c r="D268" s="30" t="n"/>
      <c r="E268" s="30" t="n"/>
      <c r="F268" s="30" t="n"/>
      <c r="G268" s="30" t="n"/>
    </row>
    <row r="269" ht="17" customHeight="1" s="26">
      <c r="A269" s="33" t="n"/>
      <c r="B269" s="33" t="n"/>
      <c r="C269" s="33" t="n"/>
      <c r="D269" s="33" t="n"/>
      <c r="E269" s="33" t="n"/>
      <c r="F269" s="33" t="n"/>
      <c r="G269" s="33" t="n"/>
    </row>
    <row r="270" ht="82" customHeight="1" s="26">
      <c r="A270" s="30" t="n"/>
      <c r="B270" s="30" t="n"/>
      <c r="C270" s="4" t="inlineStr">
        <is>
          <t>1771834478505 - 1771834480604</t>
        </is>
      </c>
      <c r="D270" s="32">
        <f>IMAGE("https://liskibruh.github.io/l4_data_sheets_table_images_mapper/l4_problematic_frames/xl/media/image174.png")</f>
        <v/>
      </c>
      <c r="E270" s="30" t="n"/>
      <c r="F270" s="30" t="n"/>
      <c r="G270" s="27" t="inlineStr">
        <is>
          <t>Missing static object (range) + wrong truck orientation (range)</t>
        </is>
      </c>
    </row>
    <row r="271" ht="17" customHeight="1" s="26">
      <c r="A271" s="34" t="n"/>
      <c r="B271" s="34" t="n"/>
      <c r="C271" s="10" t="n">
        <v>1771834481505</v>
      </c>
      <c r="D271" s="34" t="n"/>
      <c r="E271" s="34" t="n"/>
      <c r="F271" s="34" t="n"/>
      <c r="G271" s="34" t="n"/>
    </row>
    <row r="272" ht="17" customHeight="1" s="26">
      <c r="A272" s="33" t="n"/>
      <c r="B272" s="33" t="n"/>
      <c r="C272" s="6" t="n"/>
      <c r="D272" s="33" t="n"/>
      <c r="E272" s="33" t="n"/>
      <c r="F272" s="33" t="n"/>
      <c r="G272" s="33" t="n"/>
    </row>
    <row r="273" ht="27" customHeight="1" s="26">
      <c r="A273" s="30" t="n"/>
      <c r="B273" s="30" t="n"/>
      <c r="C273" s="27" t="n">
        <v>1771834482405</v>
      </c>
      <c r="D273" s="32">
        <f>IMAGE("https://liskibruh.github.io/l4_data_sheets_table_images_mapper/l4_problematic_frames/xl/media/image175.png")</f>
        <v/>
      </c>
      <c r="E273" s="30" t="n"/>
      <c r="F273" s="30" t="n"/>
      <c r="G273" s="27" t="inlineStr">
        <is>
          <t>Missing pedestrians</t>
        </is>
      </c>
    </row>
    <row r="274" ht="17" customHeight="1" s="26">
      <c r="A274" s="33" t="n"/>
      <c r="B274" s="33" t="n"/>
      <c r="C274" s="33" t="n"/>
      <c r="D274" s="33" t="n"/>
      <c r="E274" s="33" t="n"/>
      <c r="F274" s="33" t="n"/>
      <c r="G274" s="33" t="n"/>
    </row>
    <row r="275" ht="27" customHeight="1" s="26">
      <c r="A275" s="30" t="n"/>
      <c r="B275" s="30" t="n"/>
      <c r="C275" s="27" t="n">
        <v>1771834482904</v>
      </c>
      <c r="D275" s="32">
        <f>IMAGE("https://liskibruh.github.io/l4_data_sheets_table_images_mapper/l4_problematic_frames/xl/media/image176.png")</f>
        <v/>
      </c>
      <c r="E275" s="30" t="n"/>
      <c r="F275" s="30" t="n"/>
      <c r="G275" s="27" t="inlineStr">
        <is>
          <t>Missing static object</t>
        </is>
      </c>
    </row>
    <row r="276" ht="17" customHeight="1" s="26">
      <c r="A276" s="33" t="n"/>
      <c r="B276" s="33" t="n"/>
      <c r="C276" s="33" t="n"/>
      <c r="D276" s="33" t="n"/>
      <c r="E276" s="33" t="n"/>
      <c r="F276" s="33" t="n"/>
      <c r="G276" s="33" t="n"/>
    </row>
    <row r="277" ht="41" customHeight="1" s="26">
      <c r="A277" s="30" t="n"/>
      <c r="B277" s="30" t="n"/>
      <c r="C277" s="27" t="n">
        <v>1771834483404</v>
      </c>
      <c r="D277" s="32">
        <f>IMAGE("https://liskibruh.github.io/l4_data_sheets_table_images_mapper/l4_problematic_frames/xl/media/image177.png")</f>
        <v/>
      </c>
      <c r="E277" s="30" t="n"/>
      <c r="F277" s="30" t="n"/>
      <c r="G277" s="27" t="inlineStr">
        <is>
          <t>Missing pedestrian + static object</t>
        </is>
      </c>
    </row>
    <row r="278" ht="17" customHeight="1" s="26">
      <c r="A278" s="33" t="n"/>
      <c r="B278" s="33" t="n"/>
      <c r="C278" s="33" t="n"/>
      <c r="D278" s="33" t="n"/>
      <c r="E278" s="33" t="n"/>
      <c r="F278" s="33" t="n"/>
      <c r="G278" s="33" t="n"/>
    </row>
    <row r="279" ht="17" customHeight="1" s="26">
      <c r="A279" s="30" t="n"/>
      <c r="B279" s="30" t="n"/>
      <c r="C279" s="27" t="n">
        <v>1771834484404</v>
      </c>
      <c r="D279" s="32">
        <f>IMAGE("https://liskibruh.github.io/l4_data_sheets_table_images_mapper/l4_problematic_frames/xl/media/image178.png")</f>
        <v/>
      </c>
      <c r="E279" s="30" t="n"/>
      <c r="F279" s="30" t="n"/>
      <c r="G279" s="27" t="inlineStr">
        <is>
          <t>Missing truck</t>
        </is>
      </c>
    </row>
    <row r="280" ht="17" customHeight="1" s="26">
      <c r="A280" s="33" t="n"/>
      <c r="B280" s="33" t="n"/>
      <c r="C280" s="33" t="n"/>
      <c r="D280" s="33" t="n"/>
      <c r="E280" s="33" t="n"/>
      <c r="F280" s="33" t="n"/>
      <c r="G280" s="33" t="n"/>
    </row>
    <row r="281" ht="17" customHeight="1" s="26">
      <c r="A281" s="30" t="n"/>
      <c r="B281" s="30" t="n"/>
      <c r="C281" s="4" t="n">
        <v>1771834492804</v>
      </c>
      <c r="D281" s="32">
        <f>IMAGE("https://liskibruh.github.io/l4_data_sheets_table_images_mapper/l4_problematic_frames/xl/media/image179.png")</f>
        <v/>
      </c>
      <c r="E281" s="30" t="n"/>
      <c r="F281" s="30" t="n"/>
      <c r="G281" s="27" t="inlineStr">
        <is>
          <t>Missing pedestrian</t>
        </is>
      </c>
    </row>
    <row r="282" ht="17" customHeight="1" s="26">
      <c r="A282" s="33" t="n"/>
      <c r="B282" s="33" t="n"/>
      <c r="C282" s="7" t="n">
        <v>1771834493204</v>
      </c>
      <c r="D282" s="33" t="n"/>
      <c r="E282" s="33" t="n"/>
      <c r="F282" s="33" t="n"/>
      <c r="G282" s="33" t="n"/>
    </row>
    <row r="283" ht="29" customHeight="1" s="26">
      <c r="A283" s="30" t="n"/>
      <c r="B283" s="30" t="n"/>
      <c r="C283" s="4" t="n">
        <v>1771834530604</v>
      </c>
      <c r="D283" s="32">
        <f>IMAGE("https://liskibruh.github.io/l4_data_sheets_table_images_mapper/l4_problematic_frames/xl/media/image180.png")</f>
        <v/>
      </c>
      <c r="E283" s="32">
        <f>IMAGE("https://liskibruh.github.io/l4_data_sheets_table_images_mapper/l4_problematic_frames/xl/media/image181.png")</f>
        <v/>
      </c>
      <c r="F283" s="30" t="n"/>
      <c r="G283" s="27" t="inlineStr">
        <is>
          <t>Additional annotation for static object (false positive)</t>
        </is>
      </c>
    </row>
    <row r="284" ht="59" customHeight="1" s="26">
      <c r="A284" s="33" t="n"/>
      <c r="B284" s="33" t="n"/>
      <c r="C284" s="7" t="inlineStr">
        <is>
          <t>1771834531404 - 1771834532205</t>
        </is>
      </c>
      <c r="D284" s="33" t="n"/>
      <c r="E284" s="33" t="n"/>
      <c r="F284" s="33" t="n"/>
      <c r="G284" s="33" t="n"/>
    </row>
    <row r="285" ht="17" customHeight="1" s="26">
      <c r="A285" s="30" t="n"/>
      <c r="B285" s="30" t="n"/>
      <c r="C285" s="27" t="n">
        <v>1771834531004</v>
      </c>
      <c r="D285" s="32">
        <f>IMAGE("https://liskibruh.github.io/l4_data_sheets_table_images_mapper/l4_problematic_frames/xl/media/image182.png")</f>
        <v/>
      </c>
      <c r="E285" s="30" t="n"/>
      <c r="F285" s="30" t="n"/>
      <c r="G285" s="27" t="inlineStr">
        <is>
          <t>Missing car</t>
        </is>
      </c>
    </row>
    <row r="286" ht="17" customHeight="1" s="26">
      <c r="A286" s="33" t="n"/>
      <c r="B286" s="33" t="n"/>
      <c r="C286" s="33" t="n"/>
      <c r="D286" s="33" t="n"/>
      <c r="E286" s="33" t="n"/>
      <c r="F286" s="33" t="n"/>
      <c r="G286" s="33" t="n"/>
    </row>
    <row r="287" ht="27" customHeight="1" s="26">
      <c r="A287" s="30" t="n"/>
      <c r="B287" s="30" t="n"/>
      <c r="C287" s="27" t="n">
        <v>1771834533204</v>
      </c>
      <c r="D287" s="32">
        <f>IMAGE("https://liskibruh.github.io/l4_data_sheets_table_images_mapper/l4_problematic_frames/xl/media/image183.png")</f>
        <v/>
      </c>
      <c r="E287" s="30" t="n"/>
      <c r="F287" s="30" t="n"/>
      <c r="G287" s="27" t="inlineStr">
        <is>
          <t>Missing static object</t>
        </is>
      </c>
    </row>
    <row r="288" ht="17" customHeight="1" s="26">
      <c r="A288" s="33" t="n"/>
      <c r="B288" s="33" t="n"/>
      <c r="C288" s="33" t="n"/>
      <c r="D288" s="33" t="n"/>
      <c r="E288" s="33" t="n"/>
      <c r="F288" s="33" t="n"/>
      <c r="G288" s="33" t="n"/>
    </row>
    <row r="289" ht="27" customHeight="1" s="26">
      <c r="A289" s="30" t="n"/>
      <c r="B289" s="30" t="n"/>
      <c r="C289" s="27" t="n">
        <v>1771834535804</v>
      </c>
      <c r="D289" s="32">
        <f>IMAGE("https://liskibruh.github.io/l4_data_sheets_table_images_mapper/l4_problematic_frames/xl/media/image184.png")</f>
        <v/>
      </c>
      <c r="E289" s="30" t="n"/>
      <c r="F289" s="30" t="n"/>
      <c r="G289" s="27" t="inlineStr">
        <is>
          <t>Missing static object</t>
        </is>
      </c>
    </row>
    <row r="290" ht="17" customHeight="1" s="26">
      <c r="A290" s="33" t="n"/>
      <c r="B290" s="33" t="n"/>
      <c r="C290" s="33" t="n"/>
      <c r="D290" s="33" t="n"/>
      <c r="E290" s="33" t="n"/>
      <c r="F290" s="33" t="n"/>
      <c r="G290" s="33" t="n"/>
    </row>
    <row r="291" ht="27" customHeight="1" s="26">
      <c r="A291" s="30" t="n"/>
      <c r="B291" s="30" t="n"/>
      <c r="C291" s="27" t="n">
        <v>1771834536205</v>
      </c>
      <c r="D291" s="32">
        <f>IMAGE("https://liskibruh.github.io/l4_data_sheets_table_images_mapper/l4_problematic_frames/xl/media/image185.png")</f>
        <v/>
      </c>
      <c r="E291" s="30" t="n"/>
      <c r="F291" s="30" t="n"/>
      <c r="G291" s="27" t="inlineStr">
        <is>
          <t>Mising static object</t>
        </is>
      </c>
    </row>
    <row r="292" ht="17" customHeight="1" s="26">
      <c r="A292" s="33" t="n"/>
      <c r="B292" s="33" t="n"/>
      <c r="C292" s="33" t="n"/>
      <c r="D292" s="33" t="n"/>
      <c r="E292" s="33" t="n"/>
      <c r="F292" s="33" t="n"/>
      <c r="G292" s="33" t="n"/>
    </row>
    <row r="293" ht="17" customHeight="1" s="26">
      <c r="A293" s="30" t="n"/>
      <c r="B293" s="30" t="n"/>
      <c r="C293" s="4" t="n">
        <v>1771834564005</v>
      </c>
      <c r="D293" s="32">
        <f>IMAGE("https://liskibruh.github.io/l4_data_sheets_table_images_mapper/l4_problematic_frames/xl/media/image186.png")</f>
        <v/>
      </c>
      <c r="E293" s="30" t="n"/>
      <c r="F293" s="30" t="n"/>
      <c r="G293" s="27" t="inlineStr">
        <is>
          <t>Wrong truck orientation</t>
        </is>
      </c>
    </row>
    <row r="294" ht="17" customHeight="1" s="26">
      <c r="A294" s="34" t="n"/>
      <c r="B294" s="34" t="n"/>
      <c r="C294" s="10" t="n">
        <v>1771834565004</v>
      </c>
      <c r="D294" s="34" t="n"/>
      <c r="E294" s="34" t="n"/>
      <c r="F294" s="34" t="n"/>
      <c r="G294" s="34" t="n"/>
    </row>
    <row r="295" ht="17" customHeight="1" s="26">
      <c r="A295" s="33" t="n"/>
      <c r="B295" s="33" t="n"/>
      <c r="C295" s="7" t="n">
        <v>1771834565404</v>
      </c>
      <c r="D295" s="33" t="n"/>
      <c r="E295" s="33" t="n"/>
      <c r="F295" s="33" t="n"/>
      <c r="G295" s="33" t="n"/>
    </row>
    <row r="296" ht="17" customHeight="1" s="26">
      <c r="A296" s="30" t="n"/>
      <c r="B296" s="30" t="n"/>
      <c r="C296" s="4" t="n">
        <v>1771834573604</v>
      </c>
      <c r="D296" s="32">
        <f>IMAGE("https://liskibruh.github.io/l4_data_sheets_table_images_mapper/l4_problematic_frames/xl/media/image187.png")</f>
        <v/>
      </c>
      <c r="E296" s="30" t="n"/>
      <c r="F296" s="30" t="n"/>
      <c r="G296" s="27" t="inlineStr">
        <is>
          <t>Missing static object</t>
        </is>
      </c>
    </row>
    <row r="297" ht="17" customHeight="1" s="26">
      <c r="A297" s="34" t="n"/>
      <c r="B297" s="34" t="n"/>
      <c r="C297" s="10" t="n">
        <v>1771834574005</v>
      </c>
      <c r="D297" s="34" t="n"/>
      <c r="E297" s="34" t="n"/>
      <c r="F297" s="34" t="n"/>
      <c r="G297" s="34" t="n"/>
    </row>
    <row r="298" ht="17" customHeight="1" s="26">
      <c r="A298" s="34" t="n"/>
      <c r="B298" s="34" t="n"/>
      <c r="C298" s="10" t="n">
        <v>1771834574604</v>
      </c>
      <c r="D298" s="34" t="n"/>
      <c r="E298" s="34" t="n"/>
      <c r="F298" s="34" t="n"/>
      <c r="G298" s="34" t="n"/>
    </row>
    <row r="299" ht="17" customHeight="1" s="26">
      <c r="A299" s="33" t="n"/>
      <c r="B299" s="33" t="n"/>
      <c r="C299" s="6" t="n"/>
      <c r="D299" s="33" t="n"/>
      <c r="E299" s="33" t="n"/>
      <c r="F299" s="33" t="n"/>
      <c r="G299" s="33" t="n"/>
    </row>
    <row r="300" ht="41" customHeight="1" s="26">
      <c r="A300" s="30" t="n"/>
      <c r="B300" s="30" t="n"/>
      <c r="C300" s="27" t="inlineStr">
        <is>
          <t>1771834575104 - 1771834576505</t>
        </is>
      </c>
      <c r="D300" s="32">
        <f>IMAGE("https://liskibruh.github.io/l4_data_sheets_table_images_mapper/l4_problematic_frames/xl/media/image188.png")</f>
        <v/>
      </c>
      <c r="E300" s="30" t="n"/>
      <c r="F300" s="30" t="n"/>
      <c r="G300" s="27" t="inlineStr">
        <is>
          <t>Missing truck (range)</t>
        </is>
      </c>
    </row>
    <row r="301" ht="17" customHeight="1" s="26">
      <c r="A301" s="33" t="n"/>
      <c r="B301" s="33" t="n"/>
      <c r="C301" s="33" t="n"/>
      <c r="D301" s="33" t="n"/>
      <c r="E301" s="33" t="n"/>
      <c r="F301" s="33" t="n"/>
      <c r="G301" s="33" t="n"/>
    </row>
    <row r="302" ht="17" customHeight="1" s="26">
      <c r="A302" s="30" t="n"/>
      <c r="B302" s="30" t="n"/>
      <c r="C302" s="4" t="n">
        <v>1771834579105</v>
      </c>
      <c r="D302" s="32">
        <f>IMAGE("https://liskibruh.github.io/l4_data_sheets_table_images_mapper/l4_problematic_frames/xl/media/image189.png")</f>
        <v/>
      </c>
      <c r="E302" s="30" t="n"/>
      <c r="F302" s="30" t="n"/>
      <c r="G302" s="27" t="inlineStr">
        <is>
          <t>Missing static object</t>
        </is>
      </c>
    </row>
    <row r="303" ht="17" customHeight="1" s="26">
      <c r="A303" s="34" t="n"/>
      <c r="B303" s="34" t="n"/>
      <c r="C303" s="10" t="n">
        <v>1771834580105</v>
      </c>
      <c r="D303" s="34" t="n"/>
      <c r="E303" s="34" t="n"/>
      <c r="F303" s="34" t="n"/>
      <c r="G303" s="34" t="n"/>
    </row>
    <row r="304" ht="17" customHeight="1" s="26">
      <c r="A304" s="33" t="n"/>
      <c r="B304" s="33" t="n"/>
      <c r="C304" s="7" t="n">
        <v>1771834581204</v>
      </c>
      <c r="D304" s="33" t="n"/>
      <c r="E304" s="33" t="n"/>
      <c r="F304" s="33" t="n"/>
      <c r="G304" s="33" t="n"/>
    </row>
  </sheetData>
  <mergeCells count="992">
    <mergeCell ref="G268:G269"/>
    <mergeCell ref="F133:F134"/>
    <mergeCell ref="A137:A138"/>
    <mergeCell ref="E235:E236"/>
    <mergeCell ref="F127:F128"/>
    <mergeCell ref="A268:A269"/>
    <mergeCell ref="A302:A304"/>
    <mergeCell ref="E88:E89"/>
    <mergeCell ref="B270:B272"/>
    <mergeCell ref="G82:G83"/>
    <mergeCell ref="F173:F174"/>
    <mergeCell ref="B42:B43"/>
    <mergeCell ref="E155:E156"/>
    <mergeCell ref="C114:C115"/>
    <mergeCell ref="E157:E158"/>
    <mergeCell ref="F38:F39"/>
    <mergeCell ref="D16:D17"/>
    <mergeCell ref="D283:D284"/>
    <mergeCell ref="A213:A214"/>
    <mergeCell ref="B6:B7"/>
    <mergeCell ref="A151:A152"/>
    <mergeCell ref="C213:C214"/>
    <mergeCell ref="G58:G59"/>
    <mergeCell ref="D62:D63"/>
    <mergeCell ref="F62:F63"/>
    <mergeCell ref="D193:D194"/>
    <mergeCell ref="G221:G222"/>
    <mergeCell ref="F249:F250"/>
    <mergeCell ref="D18:D19"/>
    <mergeCell ref="D285:D286"/>
    <mergeCell ref="E179:E180"/>
    <mergeCell ref="G231:G232"/>
    <mergeCell ref="A203:A204"/>
    <mergeCell ref="B64:B65"/>
    <mergeCell ref="D235:D236"/>
    <mergeCell ref="D64:D65"/>
    <mergeCell ref="G60:G61"/>
    <mergeCell ref="F64:F65"/>
    <mergeCell ref="F120:F121"/>
    <mergeCell ref="F28:F29"/>
    <mergeCell ref="E183:E184"/>
    <mergeCell ref="E12:E13"/>
    <mergeCell ref="G183:G184"/>
    <mergeCell ref="G12:G13"/>
    <mergeCell ref="B209:B210"/>
    <mergeCell ref="B26:B27"/>
    <mergeCell ref="B159:B160"/>
    <mergeCell ref="B153:B154"/>
    <mergeCell ref="G149:G150"/>
    <mergeCell ref="C14:C15"/>
    <mergeCell ref="E14:E15"/>
    <mergeCell ref="D153:D154"/>
    <mergeCell ref="C185:C186"/>
    <mergeCell ref="G185:G186"/>
    <mergeCell ref="G70:G71"/>
    <mergeCell ref="E247:E248"/>
    <mergeCell ref="E185:E186"/>
    <mergeCell ref="B227:B230"/>
    <mergeCell ref="A263:A267"/>
    <mergeCell ref="A70:A71"/>
    <mergeCell ref="B90:B91"/>
    <mergeCell ref="G151:G152"/>
    <mergeCell ref="E249:E250"/>
    <mergeCell ref="D217:D218"/>
    <mergeCell ref="A287:A288"/>
    <mergeCell ref="B253:B254"/>
    <mergeCell ref="G249:G250"/>
    <mergeCell ref="A281:A282"/>
    <mergeCell ref="F277:F278"/>
    <mergeCell ref="G243:G244"/>
    <mergeCell ref="G78:G79"/>
    <mergeCell ref="F217:F218"/>
    <mergeCell ref="D141:D142"/>
    <mergeCell ref="A74:A75"/>
    <mergeCell ref="E38:E39"/>
    <mergeCell ref="A145:A146"/>
    <mergeCell ref="F141:F142"/>
    <mergeCell ref="D135:D136"/>
    <mergeCell ref="A139:A140"/>
    <mergeCell ref="C201:C202"/>
    <mergeCell ref="F135:F136"/>
    <mergeCell ref="C139:C140"/>
    <mergeCell ref="E201:E202"/>
    <mergeCell ref="A46:A47"/>
    <mergeCell ref="F110:F111"/>
    <mergeCell ref="C46:C47"/>
    <mergeCell ref="D12:D13"/>
    <mergeCell ref="B143:B144"/>
    <mergeCell ref="E46:E47"/>
    <mergeCell ref="C40:C41"/>
    <mergeCell ref="D143:D144"/>
    <mergeCell ref="A76:A77"/>
    <mergeCell ref="E40:E41"/>
    <mergeCell ref="A147:A148"/>
    <mergeCell ref="F199:F200"/>
    <mergeCell ref="C76:C77"/>
    <mergeCell ref="B44:B45"/>
    <mergeCell ref="C203:C204"/>
    <mergeCell ref="F149:F150"/>
    <mergeCell ref="C153:C154"/>
    <mergeCell ref="E104:E105"/>
    <mergeCell ref="G129:G130"/>
    <mergeCell ref="B108:B109"/>
    <mergeCell ref="G104:G105"/>
    <mergeCell ref="B263:B267"/>
    <mergeCell ref="E106:E107"/>
    <mergeCell ref="G131:G132"/>
    <mergeCell ref="B296:B299"/>
    <mergeCell ref="B281:B282"/>
    <mergeCell ref="A171:A172"/>
    <mergeCell ref="G106:G107"/>
    <mergeCell ref="G155:G156"/>
    <mergeCell ref="F257:F258"/>
    <mergeCell ref="B268:B269"/>
    <mergeCell ref="D159:D160"/>
    <mergeCell ref="A92:A93"/>
    <mergeCell ref="D88:D89"/>
    <mergeCell ref="F88:F89"/>
    <mergeCell ref="D26:D27"/>
    <mergeCell ref="G173:G174"/>
    <mergeCell ref="A173:A174"/>
    <mergeCell ref="F54:F55"/>
    <mergeCell ref="A300:A301"/>
    <mergeCell ref="D90:D91"/>
    <mergeCell ref="A94:A95"/>
    <mergeCell ref="G237:G238"/>
    <mergeCell ref="C20:C21"/>
    <mergeCell ref="E20:E21"/>
    <mergeCell ref="D80:D81"/>
    <mergeCell ref="A6:A7"/>
    <mergeCell ref="G38:G39"/>
    <mergeCell ref="F129:F130"/>
    <mergeCell ref="C277:C278"/>
    <mergeCell ref="A193:A194"/>
    <mergeCell ref="B167:B168"/>
    <mergeCell ref="C84:C85"/>
    <mergeCell ref="C193:C194"/>
    <mergeCell ref="B161:B162"/>
    <mergeCell ref="G157:G158"/>
    <mergeCell ref="E84:E85"/>
    <mergeCell ref="B259:B260"/>
    <mergeCell ref="C22:C23"/>
    <mergeCell ref="E28:E29"/>
    <mergeCell ref="B98:B99"/>
    <mergeCell ref="G28:G29"/>
    <mergeCell ref="C257:C258"/>
    <mergeCell ref="B225:B226"/>
    <mergeCell ref="E257:E258"/>
    <mergeCell ref="D225:D226"/>
    <mergeCell ref="E86:E87"/>
    <mergeCell ref="G80:G81"/>
    <mergeCell ref="C36:C37"/>
    <mergeCell ref="A120:A121"/>
    <mergeCell ref="B279:B280"/>
    <mergeCell ref="E30:E31"/>
    <mergeCell ref="G92:G93"/>
    <mergeCell ref="G30:G31"/>
    <mergeCell ref="E122:E124"/>
    <mergeCell ref="A209:A210"/>
    <mergeCell ref="G122:G124"/>
    <mergeCell ref="C209:C210"/>
    <mergeCell ref="G94:G95"/>
    <mergeCell ref="A159:A160"/>
    <mergeCell ref="B20:B21"/>
    <mergeCell ref="D20:D21"/>
    <mergeCell ref="C48:C49"/>
    <mergeCell ref="D14:D15"/>
    <mergeCell ref="D207:D208"/>
    <mergeCell ref="F14:F15"/>
    <mergeCell ref="A211:A212"/>
    <mergeCell ref="F207:F208"/>
    <mergeCell ref="D157:D158"/>
    <mergeCell ref="B193:B194"/>
    <mergeCell ref="A161:A162"/>
    <mergeCell ref="F157:F158"/>
    <mergeCell ref="F151:F152"/>
    <mergeCell ref="C217:C218"/>
    <mergeCell ref="B22:B23"/>
    <mergeCell ref="E112:E113"/>
    <mergeCell ref="E217:E218"/>
    <mergeCell ref="F78:F79"/>
    <mergeCell ref="C275:C276"/>
    <mergeCell ref="A98:A99"/>
    <mergeCell ref="C285:C286"/>
    <mergeCell ref="E285:E286"/>
    <mergeCell ref="F80:F81"/>
    <mergeCell ref="E141:E142"/>
    <mergeCell ref="B96:B97"/>
    <mergeCell ref="D96:D97"/>
    <mergeCell ref="B46:B47"/>
    <mergeCell ref="D46:D47"/>
    <mergeCell ref="E34:E35"/>
    <mergeCell ref="E143:E144"/>
    <mergeCell ref="B38:B39"/>
    <mergeCell ref="G34:G35"/>
    <mergeCell ref="A237:A238"/>
    <mergeCell ref="G199:G200"/>
    <mergeCell ref="A66:A67"/>
    <mergeCell ref="G147:G148"/>
    <mergeCell ref="B48:B49"/>
    <mergeCell ref="G245:G246"/>
    <mergeCell ref="C207:C208"/>
    <mergeCell ref="B175:B176"/>
    <mergeCell ref="G171:G172"/>
    <mergeCell ref="D175:D176"/>
    <mergeCell ref="A108:A109"/>
    <mergeCell ref="D104:D105"/>
    <mergeCell ref="A179:A180"/>
    <mergeCell ref="G270:G272"/>
    <mergeCell ref="A239:A240"/>
    <mergeCell ref="F104:F105"/>
    <mergeCell ref="D4:D5"/>
    <mergeCell ref="A18:A19"/>
    <mergeCell ref="B177:B178"/>
    <mergeCell ref="D106:D107"/>
    <mergeCell ref="F131:F132"/>
    <mergeCell ref="F106:F107"/>
    <mergeCell ref="A32:A33"/>
    <mergeCell ref="F42:F43"/>
    <mergeCell ref="A72:A73"/>
    <mergeCell ref="E36:E37"/>
    <mergeCell ref="F195:F196"/>
    <mergeCell ref="C72:C73"/>
    <mergeCell ref="A96:A97"/>
    <mergeCell ref="C125:C126"/>
    <mergeCell ref="C96:C97"/>
    <mergeCell ref="E125:E126"/>
    <mergeCell ref="G54:G55"/>
    <mergeCell ref="D1:F1"/>
    <mergeCell ref="B300:B301"/>
    <mergeCell ref="B251:B252"/>
    <mergeCell ref="B189:B190"/>
    <mergeCell ref="D251:D252"/>
    <mergeCell ref="E163:E166"/>
    <mergeCell ref="G163:G166"/>
    <mergeCell ref="E100:E101"/>
    <mergeCell ref="G100:G101"/>
    <mergeCell ref="F197:F198"/>
    <mergeCell ref="B237:B238"/>
    <mergeCell ref="B66:B67"/>
    <mergeCell ref="E127:E128"/>
    <mergeCell ref="F147:F148"/>
    <mergeCell ref="E102:E103"/>
    <mergeCell ref="E129:E130"/>
    <mergeCell ref="G102:G103"/>
    <mergeCell ref="D84:D85"/>
    <mergeCell ref="D22:D23"/>
    <mergeCell ref="F84:F85"/>
    <mergeCell ref="G145:G146"/>
    <mergeCell ref="G263:G267"/>
    <mergeCell ref="E131:E132"/>
    <mergeCell ref="A169:A170"/>
    <mergeCell ref="A225:A226"/>
    <mergeCell ref="F221:F222"/>
    <mergeCell ref="B86:B87"/>
    <mergeCell ref="D257:D258"/>
    <mergeCell ref="C225:C226"/>
    <mergeCell ref="D86:D87"/>
    <mergeCell ref="F86:F87"/>
    <mergeCell ref="A16:A17"/>
    <mergeCell ref="G296:G299"/>
    <mergeCell ref="A283:A284"/>
    <mergeCell ref="C16:C17"/>
    <mergeCell ref="D36:D37"/>
    <mergeCell ref="A233:A234"/>
    <mergeCell ref="F30:F31"/>
    <mergeCell ref="F223:F224"/>
    <mergeCell ref="G189:G190"/>
    <mergeCell ref="F94:F95"/>
    <mergeCell ref="F287:F288"/>
    <mergeCell ref="C291:C292"/>
    <mergeCell ref="E291:E292"/>
    <mergeCell ref="E207:E208"/>
    <mergeCell ref="B211:B212"/>
    <mergeCell ref="G207:G208"/>
    <mergeCell ref="A22:A23"/>
    <mergeCell ref="B112:B113"/>
    <mergeCell ref="B183:B184"/>
    <mergeCell ref="C149:C150"/>
    <mergeCell ref="D112:D113"/>
    <mergeCell ref="A116:A117"/>
    <mergeCell ref="D177:D178"/>
    <mergeCell ref="B275:B276"/>
    <mergeCell ref="E50:E51"/>
    <mergeCell ref="C86:C87"/>
    <mergeCell ref="B54:B55"/>
    <mergeCell ref="B114:B115"/>
    <mergeCell ref="D54:D55"/>
    <mergeCell ref="B185:B186"/>
    <mergeCell ref="D114:D115"/>
    <mergeCell ref="G50:G51"/>
    <mergeCell ref="G44:G45"/>
    <mergeCell ref="E273:E274"/>
    <mergeCell ref="D241:D242"/>
    <mergeCell ref="B277:B278"/>
    <mergeCell ref="G273:G274"/>
    <mergeCell ref="F241:F242"/>
    <mergeCell ref="A167:A168"/>
    <mergeCell ref="B56:B57"/>
    <mergeCell ref="D34:D35"/>
    <mergeCell ref="C6:C7"/>
    <mergeCell ref="D243:D244"/>
    <mergeCell ref="F34:F35"/>
    <mergeCell ref="C98:C99"/>
    <mergeCell ref="A48:A49"/>
    <mergeCell ref="C175:C176"/>
    <mergeCell ref="C4:C5"/>
    <mergeCell ref="E175:E176"/>
    <mergeCell ref="F36:F37"/>
    <mergeCell ref="E64:E65"/>
    <mergeCell ref="E4:E5"/>
    <mergeCell ref="G191:G192"/>
    <mergeCell ref="C112:C113"/>
    <mergeCell ref="A177:A178"/>
    <mergeCell ref="F2:F3"/>
    <mergeCell ref="C177:C178"/>
    <mergeCell ref="E177:E178"/>
    <mergeCell ref="A296:A299"/>
    <mergeCell ref="G205:G206"/>
    <mergeCell ref="G195:G196"/>
    <mergeCell ref="D125:D126"/>
    <mergeCell ref="A195:A196"/>
    <mergeCell ref="F125:F126"/>
    <mergeCell ref="D163:D166"/>
    <mergeCell ref="G167:G168"/>
    <mergeCell ref="F163:F166"/>
    <mergeCell ref="F100:F101"/>
    <mergeCell ref="E197:E198"/>
    <mergeCell ref="G259:G260"/>
    <mergeCell ref="A235:A236"/>
    <mergeCell ref="F231:F232"/>
    <mergeCell ref="G197:G198"/>
    <mergeCell ref="B127:B128"/>
    <mergeCell ref="A259:A260"/>
    <mergeCell ref="D127:D128"/>
    <mergeCell ref="E293:E295"/>
    <mergeCell ref="A253:A254"/>
    <mergeCell ref="G293:G295"/>
    <mergeCell ref="C253:C254"/>
    <mergeCell ref="D102:D103"/>
    <mergeCell ref="C82:C83"/>
    <mergeCell ref="F102:F103"/>
    <mergeCell ref="G261:G262"/>
    <mergeCell ref="D191:D192"/>
    <mergeCell ref="A68:A69"/>
    <mergeCell ref="A261:A262"/>
    <mergeCell ref="F191:F192"/>
    <mergeCell ref="D122:D124"/>
    <mergeCell ref="D247:D248"/>
    <mergeCell ref="F122:F124"/>
    <mergeCell ref="B16:B17"/>
    <mergeCell ref="C58:C59"/>
    <mergeCell ref="E58:E59"/>
    <mergeCell ref="F24:F25"/>
    <mergeCell ref="B233:B234"/>
    <mergeCell ref="E223:E224"/>
    <mergeCell ref="E52:E53"/>
    <mergeCell ref="G223:G224"/>
    <mergeCell ref="C221:C222"/>
    <mergeCell ref="G52:G53"/>
    <mergeCell ref="G179:G180"/>
    <mergeCell ref="D249:D250"/>
    <mergeCell ref="B18:B19"/>
    <mergeCell ref="C231:C232"/>
    <mergeCell ref="E231:E232"/>
    <mergeCell ref="E60:E61"/>
    <mergeCell ref="B235:B236"/>
    <mergeCell ref="B291:B292"/>
    <mergeCell ref="G287:G288"/>
    <mergeCell ref="G116:G117"/>
    <mergeCell ref="D291:D292"/>
    <mergeCell ref="B82:B83"/>
    <mergeCell ref="G279:G280"/>
    <mergeCell ref="E118:E119"/>
    <mergeCell ref="G289:G290"/>
    <mergeCell ref="A183:A184"/>
    <mergeCell ref="G118:G119"/>
    <mergeCell ref="A12:A13"/>
    <mergeCell ref="C183:C184"/>
    <mergeCell ref="C12:C13"/>
    <mergeCell ref="F8:F9"/>
    <mergeCell ref="F50:F51"/>
    <mergeCell ref="D181:D182"/>
    <mergeCell ref="A247:A248"/>
    <mergeCell ref="A185:A186"/>
    <mergeCell ref="F181:F182"/>
    <mergeCell ref="E149:E150"/>
    <mergeCell ref="A14:A15"/>
    <mergeCell ref="D273:D274"/>
    <mergeCell ref="E114:E115"/>
    <mergeCell ref="C70:C71"/>
    <mergeCell ref="F273:F274"/>
    <mergeCell ref="E241:E242"/>
    <mergeCell ref="E70:E71"/>
    <mergeCell ref="F52:F53"/>
    <mergeCell ref="A249:A250"/>
    <mergeCell ref="F245:F246"/>
    <mergeCell ref="F179:F180"/>
    <mergeCell ref="C249:C250"/>
    <mergeCell ref="F239:F240"/>
    <mergeCell ref="B217:B218"/>
    <mergeCell ref="C243:C244"/>
    <mergeCell ref="B133:B134"/>
    <mergeCell ref="E80:E81"/>
    <mergeCell ref="E243:E244"/>
    <mergeCell ref="D133:D134"/>
    <mergeCell ref="C78:C79"/>
    <mergeCell ref="A38:A39"/>
    <mergeCell ref="B4:B5"/>
    <mergeCell ref="B141:B142"/>
    <mergeCell ref="C38:C39"/>
    <mergeCell ref="B135:B136"/>
    <mergeCell ref="A201:A202"/>
    <mergeCell ref="B110:B111"/>
    <mergeCell ref="D110:D111"/>
    <mergeCell ref="B72:B73"/>
    <mergeCell ref="A40:A41"/>
    <mergeCell ref="G2:G3"/>
    <mergeCell ref="B199:B200"/>
    <mergeCell ref="G300:G301"/>
    <mergeCell ref="D199:D200"/>
    <mergeCell ref="E219:E220"/>
    <mergeCell ref="F255:F256"/>
    <mergeCell ref="B149:B150"/>
    <mergeCell ref="A275:A276"/>
    <mergeCell ref="F205:F206"/>
    <mergeCell ref="B70:B71"/>
    <mergeCell ref="C104:C105"/>
    <mergeCell ref="D70:D71"/>
    <mergeCell ref="G66:G67"/>
    <mergeCell ref="F70:F71"/>
    <mergeCell ref="F270:F272"/>
    <mergeCell ref="A277:A278"/>
    <mergeCell ref="B243:B244"/>
    <mergeCell ref="A133:A134"/>
    <mergeCell ref="F32:F33"/>
    <mergeCell ref="C133:C134"/>
    <mergeCell ref="F268:F269"/>
    <mergeCell ref="C127:C128"/>
    <mergeCell ref="B88:B89"/>
    <mergeCell ref="F293:F295"/>
    <mergeCell ref="F169:F170"/>
    <mergeCell ref="E173:E174"/>
    <mergeCell ref="A135:A136"/>
    <mergeCell ref="C135:C136"/>
    <mergeCell ref="E191:E192"/>
    <mergeCell ref="C110:C111"/>
    <mergeCell ref="G213:G214"/>
    <mergeCell ref="B32:B33"/>
    <mergeCell ref="E110:E111"/>
    <mergeCell ref="E237:E238"/>
    <mergeCell ref="E255:E256"/>
    <mergeCell ref="G255:G256"/>
    <mergeCell ref="B129:B130"/>
    <mergeCell ref="D58:D59"/>
    <mergeCell ref="D129:D130"/>
    <mergeCell ref="A62:A63"/>
    <mergeCell ref="F58:F59"/>
    <mergeCell ref="B221:B222"/>
    <mergeCell ref="G211:G212"/>
    <mergeCell ref="A34:A35"/>
    <mergeCell ref="A28:A29"/>
    <mergeCell ref="D231:D232"/>
    <mergeCell ref="D60:D61"/>
    <mergeCell ref="C28:C29"/>
    <mergeCell ref="D187:D188"/>
    <mergeCell ref="F116:F117"/>
    <mergeCell ref="A257:A258"/>
    <mergeCell ref="G219:G220"/>
    <mergeCell ref="F187:F188"/>
    <mergeCell ref="A64:A65"/>
    <mergeCell ref="F60:F61"/>
    <mergeCell ref="A82:A83"/>
    <mergeCell ref="A30:A31"/>
    <mergeCell ref="C92:C93"/>
    <mergeCell ref="C30:C31"/>
    <mergeCell ref="E92:E93"/>
    <mergeCell ref="D189:D190"/>
    <mergeCell ref="F289:F290"/>
    <mergeCell ref="F118:F119"/>
    <mergeCell ref="F189:F190"/>
    <mergeCell ref="E8:E9"/>
    <mergeCell ref="B12:B13"/>
    <mergeCell ref="G8:G9"/>
    <mergeCell ref="C94:C95"/>
    <mergeCell ref="C10:C11"/>
    <mergeCell ref="E181:E182"/>
    <mergeCell ref="B247:B248"/>
    <mergeCell ref="E10:E11"/>
    <mergeCell ref="G181:G182"/>
    <mergeCell ref="E137:E138"/>
    <mergeCell ref="B14:B15"/>
    <mergeCell ref="G137:G138"/>
    <mergeCell ref="G10:G11"/>
    <mergeCell ref="E302:E304"/>
    <mergeCell ref="G302:G304"/>
    <mergeCell ref="G283:G284"/>
    <mergeCell ref="B157:B158"/>
    <mergeCell ref="B151:B152"/>
    <mergeCell ref="E74:E75"/>
    <mergeCell ref="E245:E246"/>
    <mergeCell ref="D213:D214"/>
    <mergeCell ref="D151:D152"/>
    <mergeCell ref="B249:B250"/>
    <mergeCell ref="A217:A218"/>
    <mergeCell ref="B78:B79"/>
    <mergeCell ref="G239:G240"/>
    <mergeCell ref="G201:G202"/>
    <mergeCell ref="G139:G140"/>
    <mergeCell ref="D78:D79"/>
    <mergeCell ref="G74:G75"/>
    <mergeCell ref="G68:G69"/>
    <mergeCell ref="B28:B29"/>
    <mergeCell ref="G18:G19"/>
    <mergeCell ref="G285:G286"/>
    <mergeCell ref="D215:D216"/>
    <mergeCell ref="E76:E77"/>
    <mergeCell ref="A285:A286"/>
    <mergeCell ref="F215:F216"/>
    <mergeCell ref="C163:C166"/>
    <mergeCell ref="A141:A142"/>
    <mergeCell ref="B80:B81"/>
    <mergeCell ref="G76:G77"/>
    <mergeCell ref="D8:D9"/>
    <mergeCell ref="D279:D280"/>
    <mergeCell ref="G143:G144"/>
    <mergeCell ref="A143:A144"/>
    <mergeCell ref="A199:A200"/>
    <mergeCell ref="E78:E79"/>
    <mergeCell ref="B40:B41"/>
    <mergeCell ref="C199:C200"/>
    <mergeCell ref="E199:E200"/>
    <mergeCell ref="F48:F49"/>
    <mergeCell ref="D10:D11"/>
    <mergeCell ref="B104:B105"/>
    <mergeCell ref="F302:F304"/>
    <mergeCell ref="E270:E272"/>
    <mergeCell ref="F112:F113"/>
    <mergeCell ref="D263:D267"/>
    <mergeCell ref="F68:F69"/>
    <mergeCell ref="B106:B107"/>
    <mergeCell ref="B155:B156"/>
    <mergeCell ref="D155:D156"/>
    <mergeCell ref="A88:A89"/>
    <mergeCell ref="D149:D150"/>
    <mergeCell ref="A153:A154"/>
    <mergeCell ref="G169:G170"/>
    <mergeCell ref="D195:D196"/>
    <mergeCell ref="A54:A55"/>
    <mergeCell ref="C54:C55"/>
    <mergeCell ref="B145:B146"/>
    <mergeCell ref="A90:A91"/>
    <mergeCell ref="F227:F230"/>
    <mergeCell ref="F213:F214"/>
    <mergeCell ref="G233:G234"/>
    <mergeCell ref="D139:D140"/>
    <mergeCell ref="C100:C101"/>
    <mergeCell ref="G62:G63"/>
    <mergeCell ref="D259:D260"/>
    <mergeCell ref="D197:D198"/>
    <mergeCell ref="F259:F260"/>
    <mergeCell ref="A56:A57"/>
    <mergeCell ref="C56:C57"/>
    <mergeCell ref="A273:A274"/>
    <mergeCell ref="B239:B240"/>
    <mergeCell ref="G235:G236"/>
    <mergeCell ref="F203:F204"/>
    <mergeCell ref="A129:A130"/>
    <mergeCell ref="C129:C130"/>
    <mergeCell ref="G64:G65"/>
    <mergeCell ref="C120:C121"/>
    <mergeCell ref="B84:B85"/>
    <mergeCell ref="E120:E121"/>
    <mergeCell ref="A131:A132"/>
    <mergeCell ref="C60:C61"/>
    <mergeCell ref="C131:C132"/>
    <mergeCell ref="D221:D222"/>
    <mergeCell ref="E187:E188"/>
    <mergeCell ref="B257:B258"/>
    <mergeCell ref="C32:C33"/>
    <mergeCell ref="C268:C269"/>
    <mergeCell ref="E159:E160"/>
    <mergeCell ref="B92:B93"/>
    <mergeCell ref="G88:G89"/>
    <mergeCell ref="B30:B31"/>
    <mergeCell ref="G26:G27"/>
    <mergeCell ref="E26:E27"/>
    <mergeCell ref="C189:C190"/>
    <mergeCell ref="E251:E252"/>
    <mergeCell ref="D223:D224"/>
    <mergeCell ref="E189:E190"/>
    <mergeCell ref="G251:G252"/>
    <mergeCell ref="G153:G154"/>
    <mergeCell ref="F279:F280"/>
    <mergeCell ref="D30:D31"/>
    <mergeCell ref="E227:E230"/>
    <mergeCell ref="C34:C35"/>
    <mergeCell ref="G227:G230"/>
    <mergeCell ref="F263:F267"/>
    <mergeCell ref="B94:B95"/>
    <mergeCell ref="G90:G91"/>
    <mergeCell ref="G217:G218"/>
    <mergeCell ref="D94:D95"/>
    <mergeCell ref="E253:E254"/>
    <mergeCell ref="A291:A292"/>
    <mergeCell ref="F10:F11"/>
    <mergeCell ref="F281:F282"/>
    <mergeCell ref="A207:A208"/>
    <mergeCell ref="F137:F138"/>
    <mergeCell ref="A157:A158"/>
    <mergeCell ref="G141:G142"/>
    <mergeCell ref="A84:A85"/>
    <mergeCell ref="C42:C43"/>
    <mergeCell ref="D145:D146"/>
    <mergeCell ref="A78:A79"/>
    <mergeCell ref="F74:F75"/>
    <mergeCell ref="A149:A150"/>
    <mergeCell ref="F201:F202"/>
    <mergeCell ref="F145:F146"/>
    <mergeCell ref="F139:F140"/>
    <mergeCell ref="G42:G43"/>
    <mergeCell ref="E42:E43"/>
    <mergeCell ref="A221:A222"/>
    <mergeCell ref="A50:A51"/>
    <mergeCell ref="F285:F286"/>
    <mergeCell ref="C50:C51"/>
    <mergeCell ref="A293:A295"/>
    <mergeCell ref="C215:C216"/>
    <mergeCell ref="D76:D77"/>
    <mergeCell ref="C44:C45"/>
    <mergeCell ref="E215:E216"/>
    <mergeCell ref="A80:A81"/>
    <mergeCell ref="F76:F77"/>
    <mergeCell ref="C80:C81"/>
    <mergeCell ref="E44:E45"/>
    <mergeCell ref="C273:C274"/>
    <mergeCell ref="G6:G7"/>
    <mergeCell ref="E279:E280"/>
    <mergeCell ref="E108:E109"/>
    <mergeCell ref="G108:G109"/>
    <mergeCell ref="B34:B35"/>
    <mergeCell ref="G24:G25"/>
    <mergeCell ref="D28:D29"/>
    <mergeCell ref="B171:B172"/>
    <mergeCell ref="E281:E282"/>
    <mergeCell ref="D171:D172"/>
    <mergeCell ref="A104:A105"/>
    <mergeCell ref="E32:E33"/>
    <mergeCell ref="B207:B208"/>
    <mergeCell ref="A175:A176"/>
    <mergeCell ref="E268:E269"/>
    <mergeCell ref="B36:B37"/>
    <mergeCell ref="D270:D272"/>
    <mergeCell ref="D92:D93"/>
    <mergeCell ref="A4:A5"/>
    <mergeCell ref="F92:F93"/>
    <mergeCell ref="D211:D212"/>
    <mergeCell ref="E72:E73"/>
    <mergeCell ref="G72:G73"/>
    <mergeCell ref="B173:B174"/>
    <mergeCell ref="A112:A113"/>
    <mergeCell ref="D42:D43"/>
    <mergeCell ref="D173:D174"/>
    <mergeCell ref="E139:E140"/>
    <mergeCell ref="A106:A107"/>
    <mergeCell ref="C106:C107"/>
    <mergeCell ref="A155:A156"/>
    <mergeCell ref="C155:C156"/>
    <mergeCell ref="F275:F276"/>
    <mergeCell ref="C195:C196"/>
    <mergeCell ref="G159:G160"/>
    <mergeCell ref="E195:E196"/>
    <mergeCell ref="B125:B126"/>
    <mergeCell ref="D6:D7"/>
    <mergeCell ref="E213:E214"/>
    <mergeCell ref="B163:B166"/>
    <mergeCell ref="E151:E152"/>
    <mergeCell ref="E96:E97"/>
    <mergeCell ref="B100:B101"/>
    <mergeCell ref="F6:F7"/>
    <mergeCell ref="A197:A198"/>
    <mergeCell ref="C259:C260"/>
    <mergeCell ref="F193:F194"/>
    <mergeCell ref="C197:C198"/>
    <mergeCell ref="E259:E260"/>
    <mergeCell ref="G161:G162"/>
    <mergeCell ref="B62:B63"/>
    <mergeCell ref="G253:G254"/>
    <mergeCell ref="E98:E99"/>
    <mergeCell ref="B102:B103"/>
    <mergeCell ref="G98:G99"/>
    <mergeCell ref="E261:E262"/>
    <mergeCell ref="B120:B121"/>
    <mergeCell ref="B191:B192"/>
    <mergeCell ref="D120:D121"/>
    <mergeCell ref="D209:D210"/>
    <mergeCell ref="A86:A87"/>
    <mergeCell ref="D147:D148"/>
    <mergeCell ref="F209:F210"/>
    <mergeCell ref="B122:B124"/>
    <mergeCell ref="D296:D299"/>
    <mergeCell ref="F159:F160"/>
    <mergeCell ref="B24:B25"/>
    <mergeCell ref="A223:A224"/>
    <mergeCell ref="F219:F220"/>
    <mergeCell ref="F153:F154"/>
    <mergeCell ref="C223:C224"/>
    <mergeCell ref="C52:C53"/>
    <mergeCell ref="D24:D25"/>
    <mergeCell ref="G20:G21"/>
    <mergeCell ref="G14:G15"/>
    <mergeCell ref="F211:F212"/>
    <mergeCell ref="A100:A101"/>
    <mergeCell ref="E263:E267"/>
    <mergeCell ref="D161:D162"/>
    <mergeCell ref="F90:F91"/>
    <mergeCell ref="A231:A232"/>
    <mergeCell ref="F161:F162"/>
    <mergeCell ref="C287:C288"/>
    <mergeCell ref="E287:E288"/>
    <mergeCell ref="E116:E117"/>
    <mergeCell ref="F82:F83"/>
    <mergeCell ref="G281:G282"/>
    <mergeCell ref="G32:G33"/>
    <mergeCell ref="A289:A290"/>
    <mergeCell ref="C289:C290"/>
    <mergeCell ref="C145:C146"/>
    <mergeCell ref="E289:E290"/>
    <mergeCell ref="E145:E146"/>
    <mergeCell ref="G96:G97"/>
    <mergeCell ref="E22:E23"/>
    <mergeCell ref="D100:D101"/>
    <mergeCell ref="F300:F301"/>
    <mergeCell ref="B50:B51"/>
    <mergeCell ref="G46:G47"/>
    <mergeCell ref="F143:F144"/>
    <mergeCell ref="D50:D51"/>
    <mergeCell ref="G40:G41"/>
    <mergeCell ref="E209:E210"/>
    <mergeCell ref="D44:D45"/>
    <mergeCell ref="D237:D238"/>
    <mergeCell ref="E203:E204"/>
    <mergeCell ref="E147:E148"/>
    <mergeCell ref="B273:B274"/>
    <mergeCell ref="A241:A242"/>
    <mergeCell ref="F237:F238"/>
    <mergeCell ref="A114:A115"/>
    <mergeCell ref="F44:F45"/>
    <mergeCell ref="E48:E49"/>
    <mergeCell ref="B223:B224"/>
    <mergeCell ref="B52:B53"/>
    <mergeCell ref="G48:G49"/>
    <mergeCell ref="B179:B180"/>
    <mergeCell ref="D108:D109"/>
    <mergeCell ref="D52:D53"/>
    <mergeCell ref="D179:D180"/>
    <mergeCell ref="F108:F109"/>
    <mergeCell ref="D239:D240"/>
    <mergeCell ref="A243:A244"/>
    <mergeCell ref="E221:E222"/>
    <mergeCell ref="F18:F19"/>
    <mergeCell ref="D281:D282"/>
    <mergeCell ref="C171:C172"/>
    <mergeCell ref="D32:D33"/>
    <mergeCell ref="E171:E172"/>
    <mergeCell ref="D268:D269"/>
    <mergeCell ref="F26:F27"/>
    <mergeCell ref="G187:G188"/>
    <mergeCell ref="C211:C212"/>
    <mergeCell ref="D72:D73"/>
    <mergeCell ref="F72:F73"/>
    <mergeCell ref="A2:A3"/>
    <mergeCell ref="C173:C174"/>
    <mergeCell ref="C2:C3"/>
    <mergeCell ref="C300:C301"/>
    <mergeCell ref="E2:E3"/>
    <mergeCell ref="E300:E301"/>
    <mergeCell ref="A219:A220"/>
    <mergeCell ref="B255:B256"/>
    <mergeCell ref="D255:D256"/>
    <mergeCell ref="B205:B206"/>
    <mergeCell ref="C66:C67"/>
    <mergeCell ref="B241:B242"/>
    <mergeCell ref="A20:A21"/>
    <mergeCell ref="A125:A126"/>
    <mergeCell ref="A163:A166"/>
    <mergeCell ref="E277:E278"/>
    <mergeCell ref="D167:D168"/>
    <mergeCell ref="E193:E194"/>
    <mergeCell ref="G84:G85"/>
    <mergeCell ref="B197:B198"/>
    <mergeCell ref="G193:G194"/>
    <mergeCell ref="G22:G23"/>
    <mergeCell ref="A127:A128"/>
    <mergeCell ref="D38:D39"/>
    <mergeCell ref="B293:B295"/>
    <mergeCell ref="B169:B170"/>
    <mergeCell ref="D98:D99"/>
    <mergeCell ref="D293:D295"/>
    <mergeCell ref="D169:D170"/>
    <mergeCell ref="E135:E136"/>
    <mergeCell ref="A102:A103"/>
    <mergeCell ref="F98:F99"/>
    <mergeCell ref="B261:B262"/>
    <mergeCell ref="G257:G258"/>
    <mergeCell ref="F225:F226"/>
    <mergeCell ref="D261:D262"/>
    <mergeCell ref="G86:G87"/>
    <mergeCell ref="A191:A192"/>
    <mergeCell ref="F283:F284"/>
    <mergeCell ref="G36:G37"/>
    <mergeCell ref="C191:C192"/>
    <mergeCell ref="F16:F17"/>
    <mergeCell ref="D40:D41"/>
    <mergeCell ref="A110:A111"/>
    <mergeCell ref="F40:F41"/>
    <mergeCell ref="A255:A256"/>
    <mergeCell ref="A122:A124"/>
    <mergeCell ref="G209:G210"/>
    <mergeCell ref="F20:F21"/>
    <mergeCell ref="F291:F292"/>
    <mergeCell ref="B58:B59"/>
    <mergeCell ref="G175:G176"/>
    <mergeCell ref="E211:E212"/>
    <mergeCell ref="E161:E162"/>
    <mergeCell ref="A26:A27"/>
    <mergeCell ref="B60:B61"/>
    <mergeCell ref="B287:B288"/>
    <mergeCell ref="B116:B117"/>
    <mergeCell ref="B187:B188"/>
    <mergeCell ref="D287:D288"/>
    <mergeCell ref="D116:D117"/>
    <mergeCell ref="G177:G178"/>
    <mergeCell ref="E275:E276"/>
    <mergeCell ref="G112:G113"/>
    <mergeCell ref="G275:G276"/>
    <mergeCell ref="D205:D206"/>
    <mergeCell ref="E225:E226"/>
    <mergeCell ref="E54:E55"/>
    <mergeCell ref="B289:B290"/>
    <mergeCell ref="B118:B119"/>
    <mergeCell ref="G114:G115"/>
    <mergeCell ref="D289:D290"/>
    <mergeCell ref="D118:D119"/>
    <mergeCell ref="A8:A9"/>
    <mergeCell ref="C8:C9"/>
    <mergeCell ref="F96:F97"/>
    <mergeCell ref="G277:G278"/>
    <mergeCell ref="F167:F168"/>
    <mergeCell ref="F46:F47"/>
    <mergeCell ref="A181:A182"/>
    <mergeCell ref="A10:A11"/>
    <mergeCell ref="C181:C182"/>
    <mergeCell ref="E66:E67"/>
    <mergeCell ref="C102:C103"/>
    <mergeCell ref="A52:A53"/>
    <mergeCell ref="A245:A246"/>
    <mergeCell ref="F175:F176"/>
    <mergeCell ref="F4:F5"/>
    <mergeCell ref="B213:B214"/>
    <mergeCell ref="C179:C180"/>
    <mergeCell ref="C74:C75"/>
    <mergeCell ref="C239:C240"/>
    <mergeCell ref="G203:G204"/>
    <mergeCell ref="C68:C69"/>
    <mergeCell ref="E239:E240"/>
    <mergeCell ref="E68:E69"/>
    <mergeCell ref="C18:C19"/>
    <mergeCell ref="C116:C117"/>
    <mergeCell ref="F177:F178"/>
    <mergeCell ref="B215:B216"/>
    <mergeCell ref="B131:B132"/>
    <mergeCell ref="D131:D132"/>
    <mergeCell ref="E82:E83"/>
    <mergeCell ref="B8:B9"/>
    <mergeCell ref="F296:F299"/>
    <mergeCell ref="D233:D234"/>
    <mergeCell ref="A36:A37"/>
    <mergeCell ref="F233:F234"/>
    <mergeCell ref="B195:B196"/>
    <mergeCell ref="G125:G126"/>
    <mergeCell ref="B2:B3"/>
    <mergeCell ref="D2:D3"/>
    <mergeCell ref="D300:D301"/>
    <mergeCell ref="B231:B232"/>
    <mergeCell ref="F251:F252"/>
    <mergeCell ref="C255:C256"/>
    <mergeCell ref="A205:A206"/>
    <mergeCell ref="F235:F236"/>
    <mergeCell ref="D66:D67"/>
    <mergeCell ref="G127:G128"/>
    <mergeCell ref="F66:F67"/>
    <mergeCell ref="B302:B304"/>
    <mergeCell ref="A270:A272"/>
    <mergeCell ref="B283:B284"/>
    <mergeCell ref="D302:D304"/>
    <mergeCell ref="D253:D254"/>
    <mergeCell ref="F253:F254"/>
    <mergeCell ref="E94:E95"/>
    <mergeCell ref="D277:D278"/>
    <mergeCell ref="C167:C168"/>
    <mergeCell ref="B68:B69"/>
    <mergeCell ref="F155:F156"/>
    <mergeCell ref="D68:D69"/>
    <mergeCell ref="C219:C220"/>
    <mergeCell ref="C169:C170"/>
    <mergeCell ref="E169:E170"/>
    <mergeCell ref="G225:G226"/>
    <mergeCell ref="E16:E17"/>
    <mergeCell ref="E283:E284"/>
    <mergeCell ref="G16:G17"/>
    <mergeCell ref="C233:C234"/>
    <mergeCell ref="D227:D230"/>
    <mergeCell ref="C62:C63"/>
    <mergeCell ref="E233:E234"/>
    <mergeCell ref="E62:E63"/>
    <mergeCell ref="E56:E57"/>
    <mergeCell ref="G56:G57"/>
    <mergeCell ref="E18:E19"/>
    <mergeCell ref="C235:C236"/>
    <mergeCell ref="B203:B204"/>
    <mergeCell ref="C64:C65"/>
    <mergeCell ref="A58:A59"/>
    <mergeCell ref="G291:G292"/>
    <mergeCell ref="G120:G121"/>
    <mergeCell ref="A24:A25"/>
    <mergeCell ref="D183:D184"/>
    <mergeCell ref="A60:A61"/>
    <mergeCell ref="B219:B220"/>
    <mergeCell ref="A187:A188"/>
    <mergeCell ref="F183:F184"/>
    <mergeCell ref="D219:D220"/>
    <mergeCell ref="D275:D276"/>
    <mergeCell ref="C187:C188"/>
    <mergeCell ref="F12:F13"/>
    <mergeCell ref="C205:C206"/>
    <mergeCell ref="C88:C89"/>
    <mergeCell ref="D48:D49"/>
    <mergeCell ref="E205:E206"/>
    <mergeCell ref="C26:C27"/>
    <mergeCell ref="D185:D186"/>
    <mergeCell ref="A251:A252"/>
    <mergeCell ref="F247:F248"/>
    <mergeCell ref="A189:A190"/>
    <mergeCell ref="C251:C252"/>
    <mergeCell ref="F185:F186"/>
    <mergeCell ref="E153:E154"/>
    <mergeCell ref="A118:A119"/>
    <mergeCell ref="A227:A230"/>
    <mergeCell ref="C118:C119"/>
    <mergeCell ref="F114:F115"/>
    <mergeCell ref="E167:E168"/>
    <mergeCell ref="C90:C91"/>
    <mergeCell ref="D56:D57"/>
    <mergeCell ref="E90:E91"/>
    <mergeCell ref="F56:F57"/>
    <mergeCell ref="E6:E7"/>
    <mergeCell ref="F243:F244"/>
    <mergeCell ref="B181:B182"/>
    <mergeCell ref="E133:E134"/>
    <mergeCell ref="B10:B11"/>
    <mergeCell ref="B137:B138"/>
    <mergeCell ref="G133:G134"/>
    <mergeCell ref="D137:D138"/>
    <mergeCell ref="B147:B148"/>
    <mergeCell ref="B245:B246"/>
    <mergeCell ref="G4:G5"/>
    <mergeCell ref="B74:B75"/>
    <mergeCell ref="A42:A43"/>
    <mergeCell ref="D245:D246"/>
    <mergeCell ref="B201:B202"/>
    <mergeCell ref="B139:B140"/>
    <mergeCell ref="D201:D202"/>
    <mergeCell ref="G135:G136"/>
    <mergeCell ref="D74:D75"/>
    <mergeCell ref="F22:F23"/>
    <mergeCell ref="F261:F262"/>
    <mergeCell ref="B285:B286"/>
    <mergeCell ref="G110:G111"/>
    <mergeCell ref="A215:A216"/>
    <mergeCell ref="B76:B77"/>
    <mergeCell ref="A44:A45"/>
    <mergeCell ref="D203:D204"/>
    <mergeCell ref="D82:D83"/>
    <mergeCell ref="E296:E299"/>
    <mergeCell ref="A279:A280"/>
    <mergeCell ref="G241:G242"/>
    <mergeCell ref="C279:C280"/>
    <mergeCell ref="C108:C109"/>
    <mergeCell ref="C24:C25"/>
    <mergeCell ref="E24:E25"/>
    <mergeCell ref="F171:F1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295"/>
  <sheetViews>
    <sheetView showGridLines="1" workbookViewId="0">
      <selection activeCell="A1" sqref="A1"/>
    </sheetView>
  </sheetViews>
  <sheetFormatPr baseColWidth="8" defaultColWidth="14" defaultRowHeight="19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17" customHeight="1" s="26">
      <c r="A1" s="12" t="inlineStr">
        <is>
          <t>Sequence</t>
        </is>
      </c>
      <c r="B1" s="12" t="inlineStr">
        <is>
          <t>Clip</t>
        </is>
      </c>
      <c r="C1" s="12" t="inlineStr">
        <is>
          <t>Frame ID</t>
        </is>
      </c>
      <c r="D1" s="27" t="inlineStr">
        <is>
          <t>Visualizations</t>
        </is>
      </c>
      <c r="E1" s="28" t="n"/>
      <c r="F1" s="29" t="n"/>
      <c r="G1" s="12" t="inlineStr">
        <is>
          <t>Problem</t>
        </is>
      </c>
    </row>
    <row r="2" ht="41" customHeight="1" s="26">
      <c r="A2" s="30" t="n"/>
      <c r="B2" s="30" t="n"/>
      <c r="C2" s="27" t="inlineStr">
        <is>
          <t>1772259988205_1772259993805</t>
        </is>
      </c>
      <c r="D2" s="32">
        <f>IMAGE("https://liskibruh.github.io/l4_data_sheets_table_images_mapper/l4_problematic_frames/xl/media/image190.png")</f>
        <v/>
      </c>
      <c r="E2" s="30" t="n"/>
      <c r="F2" s="30" t="n"/>
      <c r="G2" s="27" t="inlineStr">
        <is>
          <t>Orientation Miss-Classification</t>
        </is>
      </c>
    </row>
    <row r="3" ht="17" customHeight="1" s="26">
      <c r="A3" s="33" t="n"/>
      <c r="B3" s="33" t="n"/>
      <c r="C3" s="33" t="n"/>
      <c r="D3" s="33" t="n"/>
      <c r="E3" s="33" t="n"/>
      <c r="F3" s="33" t="n"/>
      <c r="G3" s="33" t="n"/>
    </row>
    <row r="4" ht="41" customHeight="1" s="26">
      <c r="A4" s="27" t="inlineStr">
        <is>
          <t>2026-02-28_06-26-16_Y1-BULU</t>
        </is>
      </c>
      <c r="B4" s="27" t="inlineStr">
        <is>
          <t>1772259998804_1772260018704</t>
        </is>
      </c>
      <c r="C4" s="27" t="n">
        <v>1772260005704</v>
      </c>
      <c r="D4" s="32">
        <f>IMAGE("https://liskibruh.github.io/l4_data_sheets_table_images_mapper/l4_problematic_frames/xl/media/image191.png")</f>
        <v/>
      </c>
      <c r="E4" s="30" t="n"/>
      <c r="F4" s="30" t="n"/>
      <c r="G4" s="27" t="inlineStr">
        <is>
          <t>Missing Static Object</t>
        </is>
      </c>
    </row>
    <row r="5" ht="17" customHeight="1" s="26">
      <c r="A5" s="33" t="n"/>
      <c r="B5" s="33" t="n"/>
      <c r="C5" s="33" t="n"/>
      <c r="D5" s="33" t="n"/>
      <c r="E5" s="33" t="n"/>
      <c r="F5" s="33" t="n"/>
      <c r="G5" s="33" t="n"/>
    </row>
    <row r="6" ht="86" customHeight="1" s="26">
      <c r="A6" s="27" t="inlineStr">
        <is>
          <t>2026-02-28_06-26-16_Y1-BULU</t>
        </is>
      </c>
      <c r="B6" s="27" t="inlineStr">
        <is>
          <t>1772260018804 – 1772260038704</t>
        </is>
      </c>
      <c r="C6" s="4" t="inlineStr">
        <is>
          <t>1772260013805,1772260014704_1772260016805,</t>
        </is>
      </c>
      <c r="D6" s="32">
        <f>IMAGE("https://liskibruh.github.io/l4_data_sheets_table_images_mapper/l4_problematic_frames/xl/media/image192.png")</f>
        <v/>
      </c>
      <c r="E6" s="32">
        <f>IMAGE("https://liskibruh.github.io/l4_data_sheets_table_images_mapper/l4_problematic_frames/xl/media/image193.png")</f>
        <v/>
      </c>
      <c r="F6" s="30" t="n"/>
      <c r="G6" s="27" t="inlineStr">
        <is>
          <t>Missing Static Object</t>
        </is>
      </c>
    </row>
    <row r="7" ht="59" customHeight="1" s="26">
      <c r="A7" s="33" t="n"/>
      <c r="B7" s="33" t="n"/>
      <c r="C7" s="7" t="inlineStr">
        <is>
          <t>1772260023304,1772260024704,</t>
        </is>
      </c>
      <c r="D7" s="33" t="n"/>
      <c r="E7" s="33" t="n"/>
      <c r="F7" s="33" t="n"/>
      <c r="G7" s="33" t="n"/>
    </row>
    <row r="8" ht="41" customHeight="1" s="26">
      <c r="A8" s="30" t="n"/>
      <c r="B8" s="30" t="n"/>
      <c r="C8" s="27" t="inlineStr">
        <is>
          <t>1772260028804_1772260032404</t>
        </is>
      </c>
      <c r="D8" s="32">
        <f>IMAGE("https://liskibruh.github.io/l4_data_sheets_table_images_mapper/l4_problematic_frames/xl/media/image194.png")</f>
        <v/>
      </c>
      <c r="E8" s="30" t="n"/>
      <c r="F8" s="30" t="n"/>
      <c r="G8" s="27" t="inlineStr">
        <is>
          <t>Missed Truck</t>
        </is>
      </c>
    </row>
    <row r="9" ht="17" customHeight="1" s="26">
      <c r="A9" s="33" t="n"/>
      <c r="B9" s="33" t="n"/>
      <c r="C9" s="33" t="n"/>
      <c r="D9" s="33" t="n"/>
      <c r="E9" s="33" t="n"/>
      <c r="F9" s="33" t="n"/>
      <c r="G9" s="33" t="n"/>
    </row>
    <row r="10" ht="41" customHeight="1" s="26">
      <c r="A10" s="30" t="n"/>
      <c r="B10" s="30" t="n"/>
      <c r="C10" s="27" t="inlineStr">
        <is>
          <t>172260031005_172260035704</t>
        </is>
      </c>
      <c r="D10" s="32">
        <f>IMAGE("https://liskibruh.github.io/l4_data_sheets_table_images_mapper/l4_problematic_frames/xl/media/image195.png")</f>
        <v/>
      </c>
      <c r="E10" s="30" t="n"/>
      <c r="F10" s="30" t="n"/>
      <c r="G10" s="27" t="inlineStr">
        <is>
          <t>Missed Static Object</t>
        </is>
      </c>
    </row>
    <row r="11" ht="17" customHeight="1" s="26">
      <c r="A11" s="33" t="n"/>
      <c r="B11" s="33" t="n"/>
      <c r="C11" s="33" t="n"/>
      <c r="D11" s="33" t="n"/>
      <c r="E11" s="33" t="n"/>
      <c r="F11" s="33" t="n"/>
      <c r="G11" s="33" t="n"/>
    </row>
    <row r="12" ht="41" customHeight="1" s="26">
      <c r="A12" s="30" t="n"/>
      <c r="B12" s="30" t="n"/>
      <c r="C12" s="27" t="inlineStr">
        <is>
          <t>1772260042104_1772260043104</t>
        </is>
      </c>
      <c r="D12" s="32">
        <f>IMAGE("https://liskibruh.github.io/l4_data_sheets_table_images_mapper/l4_problematic_frames/xl/media/image196.png")</f>
        <v/>
      </c>
      <c r="E12" s="30" t="n"/>
      <c r="F12" s="30" t="n"/>
      <c r="G12" s="27" t="inlineStr">
        <is>
          <t>Missed Static Object</t>
        </is>
      </c>
    </row>
    <row r="13" ht="17" customHeight="1" s="26">
      <c r="A13" s="33" t="n"/>
      <c r="B13" s="33" t="n"/>
      <c r="C13" s="33" t="n"/>
      <c r="D13" s="33" t="n"/>
      <c r="E13" s="33" t="n"/>
      <c r="F13" s="33" t="n"/>
      <c r="G13" s="33" t="n"/>
    </row>
    <row r="14" ht="17" customHeight="1" s="26">
      <c r="A14" s="30" t="n"/>
      <c r="B14" s="30" t="n"/>
      <c r="C14" s="27" t="n">
        <v>1772260048704</v>
      </c>
      <c r="D14" s="32">
        <f>IMAGE("https://liskibruh.github.io/l4_data_sheets_table_images_mapper/l4_problematic_frames/xl/media/image197.png")</f>
        <v/>
      </c>
      <c r="E14" s="30" t="n"/>
      <c r="F14" s="30" t="n"/>
      <c r="G14" s="27" t="inlineStr">
        <is>
          <t>Missed Static Object</t>
        </is>
      </c>
    </row>
    <row r="15" ht="17" customHeight="1" s="26">
      <c r="A15" s="34" t="n"/>
      <c r="B15" s="34" t="n"/>
      <c r="C15" s="34" t="n"/>
      <c r="D15" s="34" t="n"/>
      <c r="E15" s="34" t="n"/>
      <c r="F15" s="34" t="n"/>
      <c r="G15" s="34" t="n"/>
    </row>
    <row r="16" ht="17" customHeight="1" s="26">
      <c r="A16" s="33" t="n"/>
      <c r="B16" s="33" t="n"/>
      <c r="C16" s="33" t="n"/>
      <c r="D16" s="33" t="n"/>
      <c r="E16" s="33" t="n"/>
      <c r="F16" s="33" t="n"/>
      <c r="G16" s="33" t="n"/>
    </row>
    <row r="17" ht="29" customHeight="1" s="26">
      <c r="A17" s="30" t="n"/>
      <c r="B17" s="30" t="n"/>
      <c r="C17" s="4" t="inlineStr">
        <is>
          <t>1772260088704,</t>
        </is>
      </c>
      <c r="D17" s="32">
        <f>IMAGE("https://liskibruh.github.io/l4_data_sheets_table_images_mapper/l4_problematic_frames/xl/media/image198.png")</f>
        <v/>
      </c>
      <c r="E17" s="30" t="n"/>
      <c r="F17" s="30" t="n"/>
      <c r="G17" s="27" t="inlineStr">
        <is>
          <t>Missed Car</t>
        </is>
      </c>
    </row>
    <row r="18" ht="29" customHeight="1" s="26">
      <c r="A18" s="34" t="n"/>
      <c r="B18" s="34" t="n"/>
      <c r="C18" s="10" t="inlineStr">
        <is>
          <t>1772260089704,</t>
        </is>
      </c>
      <c r="D18" s="34" t="n"/>
      <c r="E18" s="34" t="n"/>
      <c r="F18" s="34" t="n"/>
      <c r="G18" s="34" t="n"/>
    </row>
    <row r="19" ht="17" customHeight="1" s="26">
      <c r="A19" s="34" t="n"/>
      <c r="B19" s="34" t="n"/>
      <c r="C19" s="17" t="n"/>
      <c r="D19" s="34" t="n"/>
      <c r="E19" s="34" t="n"/>
      <c r="F19" s="34" t="n"/>
      <c r="G19" s="34" t="n"/>
    </row>
    <row r="20" ht="57" customHeight="1" s="26">
      <c r="A20" s="34" t="n"/>
      <c r="B20" s="34" t="n"/>
      <c r="C20" s="10" t="inlineStr">
        <is>
          <t>1772260090304_1772260101305.</t>
        </is>
      </c>
      <c r="D20" s="34" t="n"/>
      <c r="E20" s="34" t="n"/>
      <c r="F20" s="34" t="n"/>
      <c r="G20" s="34" t="n"/>
    </row>
    <row r="21" ht="29" customHeight="1" s="26">
      <c r="A21" s="34" t="n"/>
      <c r="B21" s="34" t="n"/>
      <c r="C21" s="10" t="inlineStr">
        <is>
          <t>1772260101604,</t>
        </is>
      </c>
      <c r="D21" s="34" t="n"/>
      <c r="E21" s="34" t="n"/>
      <c r="F21" s="34" t="n"/>
      <c r="G21" s="34" t="n"/>
    </row>
    <row r="22" ht="17" customHeight="1" s="26">
      <c r="A22" s="33" t="n"/>
      <c r="B22" s="33" t="n"/>
      <c r="C22" s="6" t="n"/>
      <c r="D22" s="33" t="n"/>
      <c r="E22" s="33" t="n"/>
      <c r="F22" s="33" t="n"/>
      <c r="G22" s="33" t="n"/>
    </row>
    <row r="23" ht="17" customHeight="1" s="26">
      <c r="A23" s="30" t="n"/>
      <c r="B23" s="30" t="n"/>
      <c r="C23" s="27" t="n">
        <v>1772260096604</v>
      </c>
      <c r="D23" s="32">
        <f>IMAGE("https://liskibruh.github.io/l4_data_sheets_table_images_mapper/l4_problematic_frames/xl/media/image199.png")</f>
        <v/>
      </c>
      <c r="E23" s="30" t="n"/>
      <c r="F23" s="30" t="n"/>
      <c r="G23" s="27" t="inlineStr">
        <is>
          <t>Missed truck</t>
        </is>
      </c>
    </row>
    <row r="24" ht="17" customHeight="1" s="26">
      <c r="A24" s="33" t="n"/>
      <c r="B24" s="33" t="n"/>
      <c r="C24" s="33" t="n"/>
      <c r="D24" s="33" t="n"/>
      <c r="E24" s="33" t="n"/>
      <c r="F24" s="33" t="n"/>
      <c r="G24" s="33" t="n"/>
    </row>
    <row r="25" ht="41" customHeight="1" s="26">
      <c r="A25" s="30" t="n"/>
      <c r="B25" s="30" t="n"/>
      <c r="C25" s="27" t="inlineStr">
        <is>
          <t>172260103605_172260104065</t>
        </is>
      </c>
      <c r="D25" s="32">
        <f>IMAGE("https://liskibruh.github.io/l4_data_sheets_table_images_mapper/l4_problematic_frames/xl/media/image200.png")</f>
        <v/>
      </c>
      <c r="E25" s="30" t="n"/>
      <c r="F25" s="30" t="n"/>
      <c r="G25" s="27" t="inlineStr">
        <is>
          <t>False Positive Truck</t>
        </is>
      </c>
    </row>
    <row r="26" ht="17" customHeight="1" s="26">
      <c r="A26" s="33" t="n"/>
      <c r="B26" s="33" t="n"/>
      <c r="C26" s="33" t="n"/>
      <c r="D26" s="33" t="n"/>
      <c r="E26" s="33" t="n"/>
      <c r="F26" s="33" t="n"/>
      <c r="G26" s="33" t="n"/>
    </row>
    <row r="27" ht="41" customHeight="1" s="26">
      <c r="A27" s="30" t="n"/>
      <c r="B27" s="30" t="n"/>
      <c r="C27" s="27" t="inlineStr">
        <is>
          <t>1772260189905_1772260193304</t>
        </is>
      </c>
      <c r="D27" s="32">
        <f>IMAGE("https://liskibruh.github.io/l4_data_sheets_table_images_mapper/l4_problematic_frames/xl/media/image201.png")</f>
        <v/>
      </c>
      <c r="E27" s="30" t="n"/>
      <c r="F27" s="30" t="n"/>
      <c r="G27" s="27" t="inlineStr">
        <is>
          <t>Missed Mutliple Static Object,</t>
        </is>
      </c>
    </row>
    <row r="28" ht="17" customHeight="1" s="26">
      <c r="A28" s="33" t="n"/>
      <c r="B28" s="33" t="n"/>
      <c r="C28" s="33" t="n"/>
      <c r="D28" s="33" t="n"/>
      <c r="E28" s="33" t="n"/>
      <c r="F28" s="33" t="n"/>
      <c r="G28" s="33" t="n"/>
    </row>
    <row r="29" ht="17" customHeight="1" s="26">
      <c r="A29" s="30" t="n"/>
      <c r="B29" s="30" t="n"/>
      <c r="C29" s="27" t="n">
        <v>1772260189905</v>
      </c>
      <c r="D29" s="32">
        <f>IMAGE("https://liskibruh.github.io/l4_data_sheets_table_images_mapper/l4_problematic_frames/xl/media/image201.png")</f>
        <v/>
      </c>
      <c r="E29" s="30" t="n"/>
      <c r="F29" s="30" t="n"/>
      <c r="G29" s="27" t="inlineStr">
        <is>
          <t>Missed Car</t>
        </is>
      </c>
    </row>
    <row r="30" ht="17" customHeight="1" s="26">
      <c r="A30" s="33" t="n"/>
      <c r="B30" s="33" t="n"/>
      <c r="C30" s="33" t="n"/>
      <c r="D30" s="33" t="n"/>
      <c r="E30" s="33" t="n"/>
      <c r="F30" s="33" t="n"/>
      <c r="G30" s="33" t="n"/>
    </row>
    <row r="31" ht="41" customHeight="1" s="26">
      <c r="A31" s="30" t="n"/>
      <c r="B31" s="30" t="n"/>
      <c r="C31" s="27" t="inlineStr">
        <is>
          <t>1772260195504_1772260198704</t>
        </is>
      </c>
      <c r="D31" s="32">
        <f>IMAGE("https://liskibruh.github.io/l4_data_sheets_table_images_mapper/l4_problematic_frames/xl/media/image202.png")</f>
        <v/>
      </c>
      <c r="E31" s="30" t="n"/>
      <c r="F31" s="30" t="n"/>
      <c r="G31" s="27" t="inlineStr">
        <is>
          <t>Missed Mutliple Static Objects</t>
        </is>
      </c>
    </row>
    <row r="32" ht="17" customHeight="1" s="26">
      <c r="A32" s="33" t="n"/>
      <c r="B32" s="33" t="n"/>
      <c r="C32" s="33" t="n"/>
      <c r="D32" s="33" t="n"/>
      <c r="E32" s="33" t="n"/>
      <c r="F32" s="33" t="n"/>
      <c r="G32" s="33" t="n"/>
    </row>
    <row r="33" ht="17" customHeight="1" s="26">
      <c r="A33" s="30" t="n"/>
      <c r="B33" s="30" t="n"/>
      <c r="C33" s="4" t="n">
        <v>1772260202604</v>
      </c>
      <c r="D33" s="32">
        <f>IMAGE("https://liskibruh.github.io/l4_data_sheets_table_images_mapper/l4_problematic_frames/xl/media/image203.png")</f>
        <v/>
      </c>
      <c r="E33" s="30" t="n"/>
      <c r="F33" s="30" t="n"/>
      <c r="G33" s="27" t="inlineStr">
        <is>
          <t>Missed Static Object</t>
        </is>
      </c>
    </row>
    <row r="34" ht="17" customHeight="1" s="26">
      <c r="A34" s="34" t="n"/>
      <c r="B34" s="34" t="n"/>
      <c r="C34" s="10" t="inlineStr">
        <is>
          <t>,</t>
        </is>
      </c>
      <c r="D34" s="34" t="n"/>
      <c r="E34" s="34" t="n"/>
      <c r="F34" s="34" t="n"/>
      <c r="G34" s="34" t="n"/>
    </row>
    <row r="35" ht="29" customHeight="1" s="26">
      <c r="A35" s="34" t="n"/>
      <c r="B35" s="34" t="n"/>
      <c r="C35" s="10" t="inlineStr">
        <is>
          <t>1772260202804_</t>
        </is>
      </c>
      <c r="D35" s="34" t="n"/>
      <c r="E35" s="34" t="n"/>
      <c r="F35" s="34" t="n"/>
      <c r="G35" s="34" t="n"/>
    </row>
    <row r="36" ht="17" customHeight="1" s="26">
      <c r="A36" s="33" t="n"/>
      <c r="B36" s="33" t="n"/>
      <c r="C36" s="7" t="n">
        <v>1772260204205</v>
      </c>
      <c r="D36" s="33" t="n"/>
      <c r="E36" s="33" t="n"/>
      <c r="F36" s="33" t="n"/>
      <c r="G36" s="33" t="n"/>
    </row>
    <row r="37" ht="41" customHeight="1" s="26">
      <c r="A37" s="30" t="n"/>
      <c r="B37" s="30" t="n"/>
      <c r="C37" s="27" t="inlineStr">
        <is>
          <t>1772260203204_1772260206504</t>
        </is>
      </c>
      <c r="D37" s="32">
        <f>IMAGE("https://liskibruh.github.io/l4_data_sheets_table_images_mapper/l4_problematic_frames/xl/media/image204.png")</f>
        <v/>
      </c>
      <c r="E37" s="30" t="n"/>
      <c r="F37" s="30" t="n"/>
      <c r="G37" s="27" t="inlineStr">
        <is>
          <t>Missed Static Object</t>
        </is>
      </c>
    </row>
    <row r="38" ht="17" customHeight="1" s="26">
      <c r="A38" s="33" t="n"/>
      <c r="B38" s="33" t="n"/>
      <c r="C38" s="33" t="n"/>
      <c r="D38" s="33" t="n"/>
      <c r="E38" s="33" t="n"/>
      <c r="F38" s="33" t="n"/>
      <c r="G38" s="33" t="n"/>
    </row>
    <row r="39" ht="41" customHeight="1" s="26">
      <c r="A39" s="30" t="n"/>
      <c r="B39" s="30" t="n"/>
      <c r="C39" s="27" t="inlineStr">
        <is>
          <t>1772260207505_1772260208504</t>
        </is>
      </c>
      <c r="D39" s="32">
        <f>IMAGE("https://liskibruh.github.io/l4_data_sheets_table_images_mapper/l4_problematic_frames/xl/media/image205.png")</f>
        <v/>
      </c>
      <c r="E39" s="30" t="n"/>
      <c r="F39" s="30" t="n"/>
      <c r="G39" s="27" t="inlineStr">
        <is>
          <t>Missed Static Object</t>
        </is>
      </c>
    </row>
    <row r="40" ht="17" customHeight="1" s="26">
      <c r="A40" s="33" t="n"/>
      <c r="B40" s="33" t="n"/>
      <c r="C40" s="33" t="n"/>
      <c r="D40" s="33" t="n"/>
      <c r="E40" s="33" t="n"/>
      <c r="F40" s="33" t="n"/>
      <c r="G40" s="33" t="n"/>
    </row>
    <row r="41" ht="41" customHeight="1" s="26">
      <c r="A41" s="30" t="n"/>
      <c r="B41" s="30" t="n"/>
      <c r="C41" s="27" t="inlineStr">
        <is>
          <t>1772260196604_1772260208704</t>
        </is>
      </c>
      <c r="D41" s="32">
        <f>IMAGE("https://liskibruh.github.io/l4_data_sheets_table_images_mapper/l4_problematic_frames/xl/media/image206.png")</f>
        <v/>
      </c>
      <c r="E41" s="30" t="n"/>
      <c r="F41" s="30" t="n"/>
      <c r="G41" s="27" t="inlineStr">
        <is>
          <t>Missed Static Object</t>
        </is>
      </c>
    </row>
    <row r="42" ht="17" customHeight="1" s="26">
      <c r="A42" s="33" t="n"/>
      <c r="B42" s="33" t="n"/>
      <c r="C42" s="33" t="n"/>
      <c r="D42" s="33" t="n"/>
      <c r="E42" s="33" t="n"/>
      <c r="F42" s="33" t="n"/>
      <c r="G42" s="33" t="n"/>
    </row>
    <row r="43" ht="27" customHeight="1" s="26">
      <c r="A43" s="30" t="n"/>
      <c r="B43" s="30" t="n"/>
      <c r="C43" s="27" t="n">
        <v>1772260211305</v>
      </c>
      <c r="D43" s="32">
        <f>IMAGE("https://liskibruh.github.io/l4_data_sheets_table_images_mapper/l4_problematic_frames/xl/media/image207.png")</f>
        <v/>
      </c>
      <c r="E43" s="30" t="n"/>
      <c r="F43" s="30" t="n"/>
      <c r="G43" s="27" t="inlineStr">
        <is>
          <t>Missed Static Object</t>
        </is>
      </c>
    </row>
    <row r="44" ht="17" customHeight="1" s="26">
      <c r="A44" s="33" t="n"/>
      <c r="B44" s="33" t="n"/>
      <c r="C44" s="33" t="n"/>
      <c r="D44" s="33" t="n"/>
      <c r="E44" s="33" t="n"/>
      <c r="F44" s="33" t="n"/>
      <c r="G44" s="33" t="n"/>
    </row>
    <row r="45" ht="27" customHeight="1" s="26">
      <c r="A45" s="30" t="n"/>
      <c r="B45" s="30" t="n"/>
      <c r="C45" s="27" t="n">
        <v>1772260213705</v>
      </c>
      <c r="D45" s="32">
        <f>IMAGE("https://liskibruh.github.io/l4_data_sheets_table_images_mapper/l4_problematic_frames/xl/media/image208.png")</f>
        <v/>
      </c>
      <c r="E45" s="30" t="n"/>
      <c r="F45" s="30" t="n"/>
      <c r="G45" s="27" t="inlineStr">
        <is>
          <t>Missed Static Object</t>
        </is>
      </c>
    </row>
    <row r="46" ht="17" customHeight="1" s="26">
      <c r="A46" s="33" t="n"/>
      <c r="B46" s="33" t="n"/>
      <c r="C46" s="33" t="n"/>
      <c r="D46" s="33" t="n"/>
      <c r="E46" s="33" t="n"/>
      <c r="F46" s="33" t="n"/>
      <c r="G46" s="33" t="n"/>
    </row>
    <row r="47" ht="41" customHeight="1" s="26">
      <c r="A47" s="30" t="n"/>
      <c r="B47" s="30" t="n"/>
      <c r="C47" s="27" t="inlineStr">
        <is>
          <t>1772260211004_1772260214204</t>
        </is>
      </c>
      <c r="D47" s="32">
        <f>IMAGE("https://liskibruh.github.io/l4_data_sheets_table_images_mapper/l4_problematic_frames/xl/media/image209.png")</f>
        <v/>
      </c>
      <c r="E47" s="30" t="n"/>
      <c r="F47" s="30" t="n"/>
      <c r="G47" s="27" t="inlineStr">
        <is>
          <t>Missed Static Object</t>
        </is>
      </c>
    </row>
    <row r="48" ht="17" customHeight="1" s="26">
      <c r="A48" s="33" t="n"/>
      <c r="B48" s="33" t="n"/>
      <c r="C48" s="33" t="n"/>
      <c r="D48" s="33" t="n"/>
      <c r="E48" s="33" t="n"/>
      <c r="F48" s="33" t="n"/>
      <c r="G48" s="33" t="n"/>
    </row>
    <row r="49" ht="41" customHeight="1" s="26">
      <c r="A49" s="30" t="n"/>
      <c r="B49" s="30" t="n"/>
      <c r="C49" s="27" t="inlineStr">
        <is>
          <t>1772260215305_1772260216504</t>
        </is>
      </c>
      <c r="D49" s="32">
        <f>IMAGE("https://liskibruh.github.io/l4_data_sheets_table_images_mapper/l4_problematic_frames/xl/media/image210.png")</f>
        <v/>
      </c>
      <c r="E49" s="30" t="n"/>
      <c r="F49" s="30" t="n"/>
      <c r="G49" s="27" t="inlineStr">
        <is>
          <t>Missed Static Object</t>
        </is>
      </c>
    </row>
    <row r="50" ht="17" customHeight="1" s="26">
      <c r="A50" s="33" t="n"/>
      <c r="B50" s="33" t="n"/>
      <c r="C50" s="33" t="n"/>
      <c r="D50" s="33" t="n"/>
      <c r="E50" s="33" t="n"/>
      <c r="F50" s="33" t="n"/>
      <c r="G50" s="33" t="n"/>
    </row>
    <row r="51" ht="55" customHeight="1" s="26">
      <c r="A51" s="30" t="n"/>
      <c r="B51" s="30" t="n"/>
      <c r="C51" s="27" t="inlineStr">
        <is>
          <t>177260218804_1772260219804</t>
        </is>
      </c>
      <c r="D51" s="32">
        <f>IMAGE("https://liskibruh.github.io/l4_data_sheets_table_images_mapper/l4_problematic_frames/xl/media/image211.png")</f>
        <v/>
      </c>
      <c r="E51" s="30" t="n"/>
      <c r="F51" s="30" t="n"/>
      <c r="G51" s="27" t="inlineStr">
        <is>
          <t>Car Orientation MissClassification</t>
        </is>
      </c>
    </row>
    <row r="52" ht="17" customHeight="1" s="26">
      <c r="A52" s="33" t="n"/>
      <c r="B52" s="33" t="n"/>
      <c r="C52" s="33" t="n"/>
      <c r="D52" s="33" t="n"/>
      <c r="E52" s="33" t="n"/>
      <c r="F52" s="33" t="n"/>
      <c r="G52" s="33" t="n"/>
    </row>
    <row r="53" ht="41" customHeight="1" s="26">
      <c r="A53" s="30" t="n"/>
      <c r="B53" s="30" t="n"/>
      <c r="C53" s="27" t="inlineStr">
        <is>
          <t>1772609832404_1772609833103</t>
        </is>
      </c>
      <c r="D53" s="32">
        <f>IMAGE("https://liskibruh.github.io/l4_data_sheets_table_images_mapper/l4_problematic_frames/xl/media/image212.png")</f>
        <v/>
      </c>
      <c r="E53" s="30" t="n"/>
      <c r="F53" s="30" t="n"/>
      <c r="G53" s="27" t="inlineStr">
        <is>
          <t>Missed Truck</t>
        </is>
      </c>
    </row>
    <row r="54" ht="17" customHeight="1" s="26">
      <c r="A54" s="33" t="n"/>
      <c r="B54" s="33" t="n"/>
      <c r="C54" s="33" t="n"/>
      <c r="D54" s="33" t="n"/>
      <c r="E54" s="33" t="n"/>
      <c r="F54" s="33" t="n"/>
      <c r="G54" s="33" t="n"/>
    </row>
    <row r="55" ht="55" customHeight="1" s="26">
      <c r="A55" s="30" t="n"/>
      <c r="B55" s="30" t="n"/>
      <c r="C55" s="27" t="inlineStr">
        <is>
          <t>1772609840404_1772609841305</t>
        </is>
      </c>
      <c r="D55" s="32">
        <f>IMAGE("https://liskibruh.github.io/l4_data_sheets_table_images_mapper/l4_problematic_frames/xl/media/image213.png")</f>
        <v/>
      </c>
      <c r="E55" s="30" t="n"/>
      <c r="F55" s="30" t="n"/>
      <c r="G55" s="27" t="inlineStr">
        <is>
          <t>Truck Orientation MissClassification</t>
        </is>
      </c>
    </row>
    <row r="56" ht="17" customHeight="1" s="26">
      <c r="A56" s="33" t="n"/>
      <c r="B56" s="33" t="n"/>
      <c r="C56" s="33" t="n"/>
      <c r="D56" s="33" t="n"/>
      <c r="E56" s="33" t="n"/>
      <c r="F56" s="33" t="n"/>
      <c r="G56" s="33" t="n"/>
    </row>
    <row r="57" ht="41" customHeight="1" s="26">
      <c r="A57" s="30" t="n"/>
      <c r="B57" s="30" t="n"/>
      <c r="C57" s="27" t="inlineStr">
        <is>
          <t>1772610550205_1772610556104</t>
        </is>
      </c>
      <c r="D57" s="32">
        <f>IMAGE("https://liskibruh.github.io/l4_data_sheets_table_images_mapper/l4_problematic_frames/xl/media/image214.png")</f>
        <v/>
      </c>
      <c r="E57" s="30" t="n"/>
      <c r="F57" s="30" t="n"/>
      <c r="G57" s="27" t="inlineStr">
        <is>
          <t>Missed Car</t>
        </is>
      </c>
    </row>
    <row r="58" ht="17" customHeight="1" s="26">
      <c r="A58" s="33" t="n"/>
      <c r="B58" s="33" t="n"/>
      <c r="C58" s="33" t="n"/>
      <c r="D58" s="33" t="n"/>
      <c r="E58" s="33" t="n"/>
      <c r="F58" s="33" t="n"/>
      <c r="G58" s="33" t="n"/>
    </row>
    <row r="59" ht="57" customHeight="1" s="26">
      <c r="A59" s="30" t="n"/>
      <c r="B59" s="30" t="n"/>
      <c r="C59" s="4" t="inlineStr">
        <is>
          <t>1772611305304_1772611313205,</t>
        </is>
      </c>
      <c r="D59" s="32">
        <f>IMAGE("https://liskibruh.github.io/l4_data_sheets_table_images_mapper/l4_problematic_frames/xl/media/image215.png")</f>
        <v/>
      </c>
      <c r="E59" s="30" t="n"/>
      <c r="F59" s="30" t="n"/>
      <c r="G59" s="27" t="inlineStr">
        <is>
          <t>Missed Static Object</t>
        </is>
      </c>
    </row>
    <row r="60" ht="29" customHeight="1" s="26">
      <c r="A60" s="34" t="n"/>
      <c r="B60" s="34" t="n"/>
      <c r="C60" s="10" t="inlineStr">
        <is>
          <t>1771611314203,</t>
        </is>
      </c>
      <c r="D60" s="34" t="n"/>
      <c r="E60" s="34" t="n"/>
      <c r="F60" s="34" t="n"/>
      <c r="G60" s="34" t="n"/>
    </row>
    <row r="61" ht="29" customHeight="1" s="26">
      <c r="A61" s="34" t="n"/>
      <c r="B61" s="34" t="n"/>
      <c r="C61" s="10" t="inlineStr">
        <is>
          <t>1772611314603,</t>
        </is>
      </c>
      <c r="D61" s="34" t="n"/>
      <c r="E61" s="34" t="n"/>
      <c r="F61" s="34" t="n"/>
      <c r="G61" s="34" t="n"/>
    </row>
    <row r="62" ht="29" customHeight="1" s="26">
      <c r="A62" s="34" t="n"/>
      <c r="B62" s="34" t="n"/>
      <c r="C62" s="10" t="inlineStr">
        <is>
          <t>1772611315003,</t>
        </is>
      </c>
      <c r="D62" s="34" t="n"/>
      <c r="E62" s="34" t="n"/>
      <c r="F62" s="34" t="n"/>
      <c r="G62" s="34" t="n"/>
    </row>
    <row r="63" ht="57" customHeight="1" s="26">
      <c r="A63" s="34" t="n"/>
      <c r="B63" s="34" t="n"/>
      <c r="C63" s="10" t="inlineStr">
        <is>
          <t>1772611315404_1772611316204,</t>
        </is>
      </c>
      <c r="D63" s="34" t="n"/>
      <c r="E63" s="34" t="n"/>
      <c r="F63" s="34" t="n"/>
      <c r="G63" s="34" t="n"/>
    </row>
    <row r="64" ht="29" customHeight="1" s="26">
      <c r="A64" s="34" t="n"/>
      <c r="B64" s="34" t="n"/>
      <c r="C64" s="10" t="inlineStr">
        <is>
          <t>1772611318003,</t>
        </is>
      </c>
      <c r="D64" s="34" t="n"/>
      <c r="E64" s="34" t="n"/>
      <c r="F64" s="34" t="n"/>
      <c r="G64" s="34" t="n"/>
    </row>
    <row r="65" ht="57" customHeight="1" s="26">
      <c r="A65" s="34" t="n"/>
      <c r="B65" s="34" t="n"/>
      <c r="C65" s="10" t="inlineStr">
        <is>
          <t>1772611318404_1772611319403,</t>
        </is>
      </c>
      <c r="D65" s="34" t="n"/>
      <c r="E65" s="34" t="n"/>
      <c r="F65" s="34" t="n"/>
      <c r="G65" s="34" t="n"/>
    </row>
    <row r="66" ht="29" customHeight="1" s="26">
      <c r="A66" s="34" t="n"/>
      <c r="B66" s="34" t="n"/>
      <c r="C66" s="10" t="inlineStr">
        <is>
          <t>1772611322103,</t>
        </is>
      </c>
      <c r="D66" s="34" t="n"/>
      <c r="E66" s="34" t="n"/>
      <c r="F66" s="34" t="n"/>
      <c r="G66" s="34" t="n"/>
    </row>
    <row r="67" ht="57" customHeight="1" s="26">
      <c r="A67" s="34" t="n"/>
      <c r="B67" s="34" t="n"/>
      <c r="C67" s="10" t="inlineStr">
        <is>
          <t>1772611322404_1772611323305,</t>
        </is>
      </c>
      <c r="D67" s="34" t="n"/>
      <c r="E67" s="34" t="n"/>
      <c r="F67" s="34" t="n"/>
      <c r="G67" s="34" t="n"/>
    </row>
    <row r="68" ht="57" customHeight="1" s="26">
      <c r="A68" s="34" t="n"/>
      <c r="B68" s="34" t="n"/>
      <c r="C68" s="10" t="inlineStr">
        <is>
          <t>1772611324404_1772611328504,</t>
        </is>
      </c>
      <c r="D68" s="34" t="n"/>
      <c r="E68" s="34" t="n"/>
      <c r="F68" s="34" t="n"/>
      <c r="G68" s="34" t="n"/>
    </row>
    <row r="69" ht="57" customHeight="1" s="26">
      <c r="A69" s="34" t="n"/>
      <c r="B69" s="34" t="n"/>
      <c r="C69" s="10" t="inlineStr">
        <is>
          <t>1772611330403_1772611331304,</t>
        </is>
      </c>
      <c r="D69" s="34" t="n"/>
      <c r="E69" s="34" t="n"/>
      <c r="F69" s="34" t="n"/>
      <c r="G69" s="34" t="n"/>
    </row>
    <row r="70" ht="57" customHeight="1" s="26">
      <c r="A70" s="34" t="n"/>
      <c r="B70" s="34" t="n"/>
      <c r="C70" s="10" t="inlineStr">
        <is>
          <t>1772611332404_1772611333204,</t>
        </is>
      </c>
      <c r="D70" s="34" t="n"/>
      <c r="E70" s="34" t="n"/>
      <c r="F70" s="34" t="n"/>
      <c r="G70" s="34" t="n"/>
    </row>
    <row r="71" ht="29" customHeight="1" s="26">
      <c r="A71" s="34" t="n"/>
      <c r="B71" s="34" t="n"/>
      <c r="C71" s="10" t="inlineStr">
        <is>
          <t>1772611333904,</t>
        </is>
      </c>
      <c r="D71" s="34" t="n"/>
      <c r="E71" s="34" t="n"/>
      <c r="F71" s="34" t="n"/>
      <c r="G71" s="34" t="n"/>
    </row>
    <row r="72" ht="17" customHeight="1" s="26">
      <c r="A72" s="33" t="n"/>
      <c r="B72" s="33" t="n"/>
      <c r="C72" s="6" t="n"/>
      <c r="D72" s="33" t="n"/>
      <c r="E72" s="33" t="n"/>
      <c r="F72" s="33" t="n"/>
      <c r="G72" s="33" t="n"/>
    </row>
    <row r="73" ht="57" customHeight="1" s="26">
      <c r="A73" s="30" t="n"/>
      <c r="B73" s="30" t="n"/>
      <c r="C73" s="4" t="inlineStr">
        <is>
          <t>1772611305304_1772611313205,</t>
        </is>
      </c>
      <c r="D73" s="32">
        <f>IMAGE("https://liskibruh.github.io/l4_data_sheets_table_images_mapper/l4_problematic_frames/xl/media/image216.png")</f>
        <v/>
      </c>
      <c r="E73" s="30" t="n"/>
      <c r="F73" s="30" t="n"/>
      <c r="G73" s="27" t="inlineStr">
        <is>
          <t>Missed Multiple Static Objects</t>
        </is>
      </c>
    </row>
    <row r="74" ht="29" customHeight="1" s="26">
      <c r="A74" s="34" t="n"/>
      <c r="B74" s="34" t="n"/>
      <c r="C74" s="10" t="inlineStr">
        <is>
          <t>1771611314203,</t>
        </is>
      </c>
      <c r="D74" s="34" t="n"/>
      <c r="E74" s="34" t="n"/>
      <c r="F74" s="34" t="n"/>
      <c r="G74" s="34" t="n"/>
    </row>
    <row r="75" ht="29" customHeight="1" s="26">
      <c r="A75" s="34" t="n"/>
      <c r="B75" s="34" t="n"/>
      <c r="C75" s="10" t="inlineStr">
        <is>
          <t>1772611314603,</t>
        </is>
      </c>
      <c r="D75" s="34" t="n"/>
      <c r="E75" s="34" t="n"/>
      <c r="F75" s="34" t="n"/>
      <c r="G75" s="34" t="n"/>
    </row>
    <row r="76" ht="29" customHeight="1" s="26">
      <c r="A76" s="34" t="n"/>
      <c r="B76" s="34" t="n"/>
      <c r="C76" s="10" t="inlineStr">
        <is>
          <t>1772611315003,</t>
        </is>
      </c>
      <c r="D76" s="34" t="n"/>
      <c r="E76" s="34" t="n"/>
      <c r="F76" s="34" t="n"/>
      <c r="G76" s="34" t="n"/>
    </row>
    <row r="77" ht="57" customHeight="1" s="26">
      <c r="A77" s="34" t="n"/>
      <c r="B77" s="34" t="n"/>
      <c r="C77" s="10" t="inlineStr">
        <is>
          <t>1772611315404_1772611316204,</t>
        </is>
      </c>
      <c r="D77" s="34" t="n"/>
      <c r="E77" s="34" t="n"/>
      <c r="F77" s="34" t="n"/>
      <c r="G77" s="34" t="n"/>
    </row>
    <row r="78" ht="57" customHeight="1" s="26">
      <c r="A78" s="34" t="n"/>
      <c r="B78" s="34" t="n"/>
      <c r="C78" s="10" t="inlineStr">
        <is>
          <t>1772611317405_1772611319403,</t>
        </is>
      </c>
      <c r="D78" s="34" t="n"/>
      <c r="E78" s="34" t="n"/>
      <c r="F78" s="34" t="n"/>
      <c r="G78" s="34" t="n"/>
    </row>
    <row r="79" ht="30" customHeight="1" s="26">
      <c r="A79" s="33" t="n"/>
      <c r="B79" s="33" t="n"/>
      <c r="C79" s="7" t="inlineStr">
        <is>
          <t>1772611322103,</t>
        </is>
      </c>
      <c r="D79" s="33" t="n"/>
      <c r="E79" s="33" t="n"/>
      <c r="F79" s="33" t="n"/>
      <c r="G79" s="33" t="n"/>
    </row>
    <row r="80" ht="17" customHeight="1" s="26">
      <c r="A80" s="30" t="n"/>
      <c r="B80" s="30" t="n"/>
      <c r="C80" s="27" t="n">
        <v>17726113323203</v>
      </c>
      <c r="D80" s="32">
        <f>IMAGE("https://liskibruh.github.io/l4_data_sheets_table_images_mapper/l4_problematic_frames/xl/media/image217.png")</f>
        <v/>
      </c>
      <c r="E80" s="30" t="n"/>
      <c r="F80" s="30" t="n"/>
      <c r="G80" s="27" t="inlineStr">
        <is>
          <t>Missed Truck</t>
        </is>
      </c>
    </row>
    <row r="81" ht="17" customHeight="1" s="26">
      <c r="A81" s="33" t="n"/>
      <c r="B81" s="33" t="n"/>
      <c r="C81" s="33" t="n"/>
      <c r="D81" s="33" t="n"/>
      <c r="E81" s="33" t="n"/>
      <c r="F81" s="33" t="n"/>
      <c r="G81" s="33" t="n"/>
    </row>
    <row r="82" ht="27" customHeight="1" s="26">
      <c r="A82" s="30" t="n"/>
      <c r="B82" s="30" t="n"/>
      <c r="C82" s="27" t="n">
        <v>1772611334103</v>
      </c>
      <c r="D82" s="32">
        <f>IMAGE("https://liskibruh.github.io/l4_data_sheets_table_images_mapper/l4_problematic_frames/xl/media/image218.png")</f>
        <v/>
      </c>
      <c r="E82" s="30" t="n"/>
      <c r="F82" s="30" t="n"/>
      <c r="G82" s="27" t="inlineStr">
        <is>
          <t>Missed Static Object</t>
        </is>
      </c>
    </row>
    <row r="83" ht="17" customHeight="1" s="26">
      <c r="A83" s="33" t="n"/>
      <c r="B83" s="33" t="n"/>
      <c r="C83" s="33" t="n"/>
      <c r="D83" s="33" t="n"/>
      <c r="E83" s="33" t="n"/>
      <c r="F83" s="33" t="n"/>
      <c r="G83" s="33" t="n"/>
    </row>
    <row r="84" ht="41" customHeight="1" s="26">
      <c r="A84" s="30" t="n"/>
      <c r="B84" s="30" t="n"/>
      <c r="C84" s="27" t="inlineStr">
        <is>
          <t>1772611339404_1772611340205</t>
        </is>
      </c>
      <c r="D84" s="32">
        <f>IMAGE("https://liskibruh.github.io/l4_data_sheets_table_images_mapper/l4_problematic_frames/xl/media/image219.png")</f>
        <v/>
      </c>
      <c r="E84" s="30" t="n"/>
      <c r="F84" s="30" t="n"/>
      <c r="G84" s="27" t="inlineStr">
        <is>
          <t>MissClassification Truck</t>
        </is>
      </c>
    </row>
    <row r="85" ht="17" customHeight="1" s="26">
      <c r="A85" s="33" t="n"/>
      <c r="B85" s="33" t="n"/>
      <c r="C85" s="33" t="n"/>
      <c r="D85" s="33" t="n"/>
      <c r="E85" s="33" t="n"/>
      <c r="F85" s="33" t="n"/>
      <c r="G85" s="33" t="n"/>
    </row>
    <row r="86" ht="57" customHeight="1" s="26">
      <c r="A86" s="30" t="n"/>
      <c r="B86" s="30" t="n"/>
      <c r="C86" s="4" t="inlineStr">
        <is>
          <t>1772611342504_1772611345403,</t>
        </is>
      </c>
      <c r="D86" s="32">
        <f>IMAGE("https://liskibruh.github.io/l4_data_sheets_table_images_mapper/l4_problematic_frames/xl/media/image220.png")</f>
        <v/>
      </c>
      <c r="E86" s="30" t="n"/>
      <c r="F86" s="30" t="n"/>
      <c r="G86" s="27" t="inlineStr">
        <is>
          <t>Missed Static Object</t>
        </is>
      </c>
    </row>
    <row r="87" ht="17" customHeight="1" s="26">
      <c r="A87" s="34" t="n"/>
      <c r="B87" s="34" t="n"/>
      <c r="C87" s="17" t="n"/>
      <c r="D87" s="34" t="n"/>
      <c r="E87" s="34" t="n"/>
      <c r="F87" s="34" t="n"/>
      <c r="G87" s="34" t="n"/>
    </row>
    <row r="88" ht="59" customHeight="1" s="26">
      <c r="A88" s="33" t="n"/>
      <c r="B88" s="33" t="n"/>
      <c r="C88" s="7" t="inlineStr">
        <is>
          <t>1772611346503_1772611347305</t>
        </is>
      </c>
      <c r="D88" s="33" t="n"/>
      <c r="E88" s="33" t="n"/>
      <c r="F88" s="33" t="n"/>
      <c r="G88" s="33" t="n"/>
    </row>
    <row r="89" ht="41" customHeight="1" s="26">
      <c r="A89" s="30" t="n"/>
      <c r="B89" s="30" t="n"/>
      <c r="C89" s="27" t="inlineStr">
        <is>
          <t>1772611353404_1772611354105</t>
        </is>
      </c>
      <c r="D89" s="32">
        <f>IMAGE("https://liskibruh.github.io/l4_data_sheets_table_images_mapper/l4_problematic_frames/xl/media/image221.png")</f>
        <v/>
      </c>
      <c r="E89" s="30" t="n"/>
      <c r="F89" s="30" t="n"/>
      <c r="G89" s="27" t="inlineStr">
        <is>
          <t>False Positives Static Object</t>
        </is>
      </c>
    </row>
    <row r="90" ht="17" customHeight="1" s="26">
      <c r="A90" s="33" t="n"/>
      <c r="B90" s="33" t="n"/>
      <c r="C90" s="33" t="n"/>
      <c r="D90" s="33" t="n"/>
      <c r="E90" s="33" t="n"/>
      <c r="F90" s="33" t="n"/>
      <c r="G90" s="33" t="n"/>
    </row>
    <row r="91" ht="41" customHeight="1" s="26">
      <c r="A91" s="30" t="n"/>
      <c r="B91" s="30" t="n"/>
      <c r="C91" s="27" t="inlineStr">
        <is>
          <t>1772611353404_1772611354305</t>
        </is>
      </c>
      <c r="D91" s="32">
        <f>IMAGE("https://liskibruh.github.io/l4_data_sheets_table_images_mapper/l4_problematic_frames/xl/media/image222.png")</f>
        <v/>
      </c>
      <c r="E91" s="30" t="n"/>
      <c r="F91" s="30" t="n"/>
      <c r="G91" s="27" t="inlineStr">
        <is>
          <t>Missed Truck</t>
        </is>
      </c>
    </row>
    <row r="92" ht="17" customHeight="1" s="26">
      <c r="A92" s="33" t="n"/>
      <c r="B92" s="33" t="n"/>
      <c r="C92" s="33" t="n"/>
      <c r="D92" s="33" t="n"/>
      <c r="E92" s="33" t="n"/>
      <c r="F92" s="33" t="n"/>
      <c r="G92" s="33" t="n"/>
    </row>
    <row r="93" ht="55" customHeight="1" s="26">
      <c r="A93" s="30" t="n"/>
      <c r="B93" s="30" t="n"/>
      <c r="C93" s="27" t="inlineStr">
        <is>
          <t>1772611354405_1772611355304</t>
        </is>
      </c>
      <c r="D93" s="32">
        <f>IMAGE("https://liskibruh.github.io/l4_data_sheets_table_images_mapper/l4_problematic_frames/xl/media/image223.png")</f>
        <v/>
      </c>
      <c r="E93" s="30" t="n"/>
      <c r="F93" s="30" t="n"/>
      <c r="G93" s="27" t="inlineStr">
        <is>
          <t>Truck Orientation MissClassification</t>
        </is>
      </c>
    </row>
    <row r="94" ht="17" customHeight="1" s="26">
      <c r="A94" s="33" t="n"/>
      <c r="B94" s="33" t="n"/>
      <c r="C94" s="33" t="n"/>
      <c r="D94" s="33" t="n"/>
      <c r="E94" s="33" t="n"/>
      <c r="F94" s="33" t="n"/>
      <c r="G94" s="33" t="n"/>
    </row>
    <row r="95" ht="41" customHeight="1" s="26">
      <c r="A95" s="30" t="n"/>
      <c r="B95" s="30" t="n"/>
      <c r="C95" s="27" t="inlineStr">
        <is>
          <t>1772611356504_1772611357305</t>
        </is>
      </c>
      <c r="D95" s="32">
        <f>IMAGE("https://liskibruh.github.io/l4_data_sheets_table_images_mapper/l4_problematic_frames/xl/media/image224.png")</f>
        <v/>
      </c>
      <c r="E95" s="30" t="n"/>
      <c r="F95" s="30" t="n"/>
      <c r="G95" s="27" t="inlineStr">
        <is>
          <t>Missclassification of Truck</t>
        </is>
      </c>
    </row>
    <row r="96" ht="17" customHeight="1" s="26">
      <c r="A96" s="33" t="n"/>
      <c r="B96" s="33" t="n"/>
      <c r="C96" s="33" t="n"/>
      <c r="D96" s="33" t="n"/>
      <c r="E96" s="33" t="n"/>
      <c r="F96" s="33" t="n"/>
      <c r="G96" s="33" t="n"/>
    </row>
    <row r="97" ht="17" customHeight="1" s="26">
      <c r="A97" s="30" t="n"/>
      <c r="B97" s="30" t="n"/>
      <c r="C97" s="27" t="n">
        <v>1772611357004</v>
      </c>
      <c r="D97" s="32">
        <f>IMAGE("https://liskibruh.github.io/l4_data_sheets_table_images_mapper/l4_problematic_frames/xl/media/image225.png")</f>
        <v/>
      </c>
      <c r="E97" s="30" t="n"/>
      <c r="F97" s="30" t="n"/>
      <c r="G97" s="27" t="inlineStr">
        <is>
          <t>Missed Car</t>
        </is>
      </c>
    </row>
    <row r="98" ht="17" customHeight="1" s="26">
      <c r="A98" s="33" t="n"/>
      <c r="B98" s="33" t="n"/>
      <c r="C98" s="33" t="n"/>
      <c r="D98" s="33" t="n"/>
      <c r="E98" s="33" t="n"/>
      <c r="F98" s="33" t="n"/>
      <c r="G98" s="33" t="n"/>
    </row>
    <row r="99" ht="41" customHeight="1" s="26">
      <c r="A99" s="30" t="n"/>
      <c r="B99" s="30" t="n"/>
      <c r="C99" s="27" t="inlineStr">
        <is>
          <t>1772611357405_1772611360304</t>
        </is>
      </c>
      <c r="D99" s="32">
        <f>IMAGE("https://liskibruh.github.io/l4_data_sheets_table_images_mapper/l4_problematic_frames/xl/media/image226.png")</f>
        <v/>
      </c>
      <c r="E99" s="30" t="n"/>
      <c r="F99" s="30" t="n"/>
      <c r="G99" s="27" t="inlineStr">
        <is>
          <t>Missed Car</t>
        </is>
      </c>
    </row>
    <row r="100" ht="17" customHeight="1" s="26">
      <c r="A100" s="33" t="n"/>
      <c r="B100" s="33" t="n"/>
      <c r="C100" s="33" t="n"/>
      <c r="D100" s="33" t="n"/>
      <c r="E100" s="33" t="n"/>
      <c r="F100" s="33" t="n"/>
      <c r="G100" s="33" t="n"/>
    </row>
    <row r="101" ht="41" customHeight="1" s="26">
      <c r="A101" s="30" t="n"/>
      <c r="B101" s="30" t="n"/>
      <c r="C101" s="27" t="inlineStr">
        <is>
          <t>1772611360405_1772611361305</t>
        </is>
      </c>
      <c r="D101" s="32">
        <f>IMAGE("https://liskibruh.github.io/l4_data_sheets_table_images_mapper/l4_problematic_frames/xl/media/image227.png")</f>
        <v/>
      </c>
      <c r="E101" s="30" t="n"/>
      <c r="F101" s="30" t="n"/>
      <c r="G101" s="27" t="inlineStr">
        <is>
          <t>False Positive Truck</t>
        </is>
      </c>
    </row>
    <row r="102" ht="17" customHeight="1" s="26">
      <c r="A102" s="33" t="n"/>
      <c r="B102" s="33" t="n"/>
      <c r="C102" s="33" t="n"/>
      <c r="D102" s="33" t="n"/>
      <c r="E102" s="33" t="n"/>
      <c r="F102" s="33" t="n"/>
      <c r="G102" s="33" t="n"/>
    </row>
    <row r="103" ht="57" customHeight="1" s="26">
      <c r="A103" s="30" t="n"/>
      <c r="B103" s="30" t="n"/>
      <c r="C103" s="4" t="inlineStr">
        <is>
          <t>1772611363905_1772611365304,</t>
        </is>
      </c>
      <c r="D103" s="32">
        <f>IMAGE("https://liskibruh.github.io/l4_data_sheets_table_images_mapper/l4_problematic_frames/xl/media/image228.png")</f>
        <v/>
      </c>
      <c r="E103" s="30" t="n"/>
      <c r="F103" s="30" t="n"/>
      <c r="G103" s="27" t="inlineStr">
        <is>
          <t>Missed Car</t>
        </is>
      </c>
    </row>
    <row r="104" ht="59" customHeight="1" s="26">
      <c r="A104" s="33" t="n"/>
      <c r="B104" s="33" t="n"/>
      <c r="C104" s="7" t="inlineStr">
        <is>
          <t>1772611366805_1772611367104</t>
        </is>
      </c>
      <c r="D104" s="33" t="n"/>
      <c r="E104" s="33" t="n"/>
      <c r="F104" s="33" t="n"/>
      <c r="G104" s="33" t="n"/>
    </row>
    <row r="105" ht="41" customHeight="1" s="26">
      <c r="A105" s="30" t="n"/>
      <c r="B105" s="30" t="n"/>
      <c r="C105" s="27" t="inlineStr">
        <is>
          <t>1772611370405_1772611371505</t>
        </is>
      </c>
      <c r="D105" s="32">
        <f>IMAGE("https://liskibruh.github.io/l4_data_sheets_table_images_mapper/l4_problematic_frames/xl/media/image229.png")</f>
        <v/>
      </c>
      <c r="E105" s="30" t="n"/>
      <c r="F105" s="30" t="n"/>
      <c r="G105" s="27" t="inlineStr">
        <is>
          <t>Missed Truck</t>
        </is>
      </c>
    </row>
    <row r="106" ht="17" customHeight="1" s="26">
      <c r="A106" s="33" t="n"/>
      <c r="B106" s="33" t="n"/>
      <c r="C106" s="33" t="n"/>
      <c r="D106" s="33" t="n"/>
      <c r="E106" s="33" t="n"/>
      <c r="F106" s="33" t="n"/>
      <c r="G106" s="33" t="n"/>
    </row>
    <row r="107" ht="43" customHeight="1" s="26">
      <c r="A107" s="30" t="n"/>
      <c r="B107" s="30" t="n"/>
      <c r="C107" s="27" t="inlineStr">
        <is>
          <t>1172611371505_1772611372404</t>
        </is>
      </c>
      <c r="D107" s="32">
        <f>IMAGE("https://liskibruh.github.io/l4_data_sheets_table_images_mapper/l4_problematic_frames/xl/media/image230.png")</f>
        <v/>
      </c>
      <c r="E107" s="30" t="n"/>
      <c r="F107" s="30" t="n"/>
      <c r="G107" s="4" t="inlineStr">
        <is>
          <t>False Positive Truck,</t>
        </is>
      </c>
    </row>
    <row r="108" ht="73" customHeight="1" s="26">
      <c r="A108" s="33" t="n"/>
      <c r="B108" s="33" t="n"/>
      <c r="C108" s="33" t="n"/>
      <c r="D108" s="33" t="n"/>
      <c r="E108" s="33" t="n"/>
      <c r="F108" s="33" t="n"/>
      <c r="G108" s="7" t="inlineStr">
        <is>
          <t>Truck Orientation Miss Classification</t>
        </is>
      </c>
    </row>
    <row r="109" ht="55" customHeight="1" s="26">
      <c r="A109" s="30" t="n"/>
      <c r="B109" s="30" t="n"/>
      <c r="C109" s="27" t="inlineStr">
        <is>
          <t>1772611372503_1772611373403</t>
        </is>
      </c>
      <c r="D109" s="32">
        <f>IMAGE("https://liskibruh.github.io/l4_data_sheets_table_images_mapper/l4_problematic_frames/xl/media/image231.png")</f>
        <v/>
      </c>
      <c r="E109" s="30" t="n"/>
      <c r="F109" s="30" t="n"/>
      <c r="G109" s="27" t="inlineStr">
        <is>
          <t>Truck Orientation Miss Classification</t>
        </is>
      </c>
    </row>
    <row r="110" ht="17" customHeight="1" s="26">
      <c r="A110" s="33" t="n"/>
      <c r="B110" s="33" t="n"/>
      <c r="C110" s="33" t="n"/>
      <c r="D110" s="33" t="n"/>
      <c r="E110" s="33" t="n"/>
      <c r="F110" s="33" t="n"/>
      <c r="G110" s="33" t="n"/>
    </row>
    <row r="111" ht="57" customHeight="1" s="26">
      <c r="A111" s="30" t="n"/>
      <c r="B111" s="30" t="n"/>
      <c r="C111" s="4" t="inlineStr">
        <is>
          <t>1772611370405_1772611373404,</t>
        </is>
      </c>
      <c r="D111" s="32">
        <f>IMAGE("https://liskibruh.github.io/l4_data_sheets_table_images_mapper/l4_problematic_frames/xl/media/image232.png")</f>
        <v/>
      </c>
      <c r="E111" s="30" t="n"/>
      <c r="F111" s="30" t="n"/>
      <c r="G111" s="27" t="inlineStr">
        <is>
          <t>Missed Static Object</t>
        </is>
      </c>
    </row>
    <row r="112" ht="29" customHeight="1" s="26">
      <c r="A112" s="34" t="n"/>
      <c r="B112" s="34" t="n"/>
      <c r="C112" s="10" t="inlineStr">
        <is>
          <t>1772611374103,</t>
        </is>
      </c>
      <c r="D112" s="34" t="n"/>
      <c r="E112" s="34" t="n"/>
      <c r="F112" s="34" t="n"/>
      <c r="G112" s="34" t="n"/>
    </row>
    <row r="113" ht="57" customHeight="1" s="26">
      <c r="A113" s="34" t="n"/>
      <c r="B113" s="34" t="n"/>
      <c r="C113" s="10" t="inlineStr">
        <is>
          <t>1172611375303,1772611379003,</t>
        </is>
      </c>
      <c r="D113" s="34" t="n"/>
      <c r="E113" s="34" t="n"/>
      <c r="F113" s="34" t="n"/>
      <c r="G113" s="34" t="n"/>
    </row>
    <row r="114" ht="29" customHeight="1" s="26">
      <c r="A114" s="34" t="n"/>
      <c r="B114" s="34" t="n"/>
      <c r="C114" s="10" t="inlineStr">
        <is>
          <t>1772611383705,</t>
        </is>
      </c>
      <c r="D114" s="34" t="n"/>
      <c r="E114" s="34" t="n"/>
      <c r="F114" s="34" t="n"/>
      <c r="G114" s="34" t="n"/>
    </row>
    <row r="115" ht="29" customHeight="1" s="26">
      <c r="A115" s="34" t="n"/>
      <c r="B115" s="34" t="n"/>
      <c r="C115" s="10" t="inlineStr">
        <is>
          <t>1772611384004,</t>
        </is>
      </c>
      <c r="D115" s="34" t="n"/>
      <c r="E115" s="34" t="n"/>
      <c r="F115" s="34" t="n"/>
      <c r="G115" s="34" t="n"/>
    </row>
    <row r="116" ht="17" customHeight="1" s="26">
      <c r="A116" s="33" t="n"/>
      <c r="B116" s="33" t="n"/>
      <c r="C116" s="6" t="n"/>
      <c r="D116" s="33" t="n"/>
      <c r="E116" s="33" t="n"/>
      <c r="F116" s="33" t="n"/>
      <c r="G116" s="33" t="n"/>
    </row>
    <row r="117" ht="29" customHeight="1" s="26">
      <c r="A117" s="30" t="n"/>
      <c r="B117" s="30" t="n"/>
      <c r="C117" s="4" t="inlineStr">
        <is>
          <t>1772611374803,</t>
        </is>
      </c>
      <c r="D117" s="32">
        <f>IMAGE("https://liskibruh.github.io/l4_data_sheets_table_images_mapper/l4_problematic_frames/xl/media/image233.png")</f>
        <v/>
      </c>
      <c r="E117" s="30" t="n"/>
      <c r="F117" s="30" t="n"/>
      <c r="G117" s="27" t="inlineStr">
        <is>
          <t>Missed Car</t>
        </is>
      </c>
    </row>
    <row r="118" ht="29" customHeight="1" s="26">
      <c r="A118" s="34" t="n"/>
      <c r="B118" s="34" t="n"/>
      <c r="C118" s="10" t="inlineStr">
        <is>
          <t>1726113735303,</t>
        </is>
      </c>
      <c r="D118" s="34" t="n"/>
      <c r="E118" s="34" t="n"/>
      <c r="F118" s="34" t="n"/>
      <c r="G118" s="34" t="n"/>
    </row>
    <row r="119" ht="57" customHeight="1" s="26">
      <c r="A119" s="34" t="n"/>
      <c r="B119" s="34" t="n"/>
      <c r="C119" s="10" t="inlineStr">
        <is>
          <t>172611376404_1772611377305,</t>
        </is>
      </c>
      <c r="D119" s="34" t="n"/>
      <c r="E119" s="34" t="n"/>
      <c r="F119" s="34" t="n"/>
      <c r="G119" s="34" t="n"/>
    </row>
    <row r="120" ht="29" customHeight="1" s="26">
      <c r="A120" s="34" t="n"/>
      <c r="B120" s="34" t="n"/>
      <c r="C120" s="10" t="inlineStr">
        <is>
          <t>1772611379003,</t>
        </is>
      </c>
      <c r="D120" s="34" t="n"/>
      <c r="E120" s="34" t="n"/>
      <c r="F120" s="34" t="n"/>
      <c r="G120" s="34" t="n"/>
    </row>
    <row r="121" ht="17" customHeight="1" s="26">
      <c r="A121" s="33" t="n"/>
      <c r="B121" s="33" t="n"/>
      <c r="C121" s="7" t="n">
        <v>1772611384103</v>
      </c>
      <c r="D121" s="33" t="n"/>
      <c r="E121" s="33" t="n"/>
      <c r="F121" s="33" t="n"/>
      <c r="G121" s="33" t="n"/>
    </row>
    <row r="122" ht="41" customHeight="1" s="26">
      <c r="A122" s="30" t="n"/>
      <c r="B122" s="30" t="n"/>
      <c r="C122" s="27" t="inlineStr">
        <is>
          <t>1772611384505_1772611385404</t>
        </is>
      </c>
      <c r="D122" s="32">
        <f>IMAGE("https://liskibruh.github.io/l4_data_sheets_table_images_mapper/l4_problematic_frames/xl/media/image234.png")</f>
        <v/>
      </c>
      <c r="E122" s="30" t="n"/>
      <c r="F122" s="30" t="n"/>
      <c r="G122" s="27" t="inlineStr">
        <is>
          <t>MissClassification Car</t>
        </is>
      </c>
    </row>
    <row r="123" ht="17" customHeight="1" s="26">
      <c r="A123" s="33" t="n"/>
      <c r="B123" s="33" t="n"/>
      <c r="C123" s="33" t="n"/>
      <c r="D123" s="33" t="n"/>
      <c r="E123" s="33" t="n"/>
      <c r="F123" s="33" t="n"/>
      <c r="G123" s="33" t="n"/>
    </row>
    <row r="124" ht="17" customHeight="1" s="26">
      <c r="A124" s="30" t="n"/>
      <c r="B124" s="30" t="n"/>
      <c r="C124" s="27" t="n">
        <v>1772611387203</v>
      </c>
      <c r="D124" s="32">
        <f>IMAGE("https://liskibruh.github.io/l4_data_sheets_table_images_mapper/l4_problematic_frames/xl/media/image235.png")</f>
        <v/>
      </c>
      <c r="E124" s="30" t="n"/>
      <c r="F124" s="30" t="n"/>
      <c r="G124" s="27" t="inlineStr">
        <is>
          <t>Missed Truck</t>
        </is>
      </c>
    </row>
    <row r="125" ht="17" customHeight="1" s="26">
      <c r="A125" s="33" t="n"/>
      <c r="B125" s="33" t="n"/>
      <c r="C125" s="33" t="n"/>
      <c r="D125" s="33" t="n"/>
      <c r="E125" s="33" t="n"/>
      <c r="F125" s="33" t="n"/>
      <c r="G125" s="33" t="n"/>
    </row>
    <row r="126" ht="29" customHeight="1" s="26">
      <c r="A126" s="30" t="n"/>
      <c r="B126" s="30" t="n"/>
      <c r="C126" s="4" t="inlineStr">
        <is>
          <t>1772611396804,</t>
        </is>
      </c>
      <c r="D126" s="32">
        <f>IMAGE("https://liskibruh.github.io/l4_data_sheets_table_images_mapper/l4_problematic_frames/xl/media/image236.png")</f>
        <v/>
      </c>
      <c r="E126" s="30" t="n"/>
      <c r="F126" s="30" t="n"/>
      <c r="G126" s="27" t="inlineStr">
        <is>
          <t>Missed Truck</t>
        </is>
      </c>
    </row>
    <row r="127" ht="17" customHeight="1" s="26">
      <c r="A127" s="33" t="n"/>
      <c r="B127" s="33" t="n"/>
      <c r="C127" s="7" t="n">
        <v>1772611397805</v>
      </c>
      <c r="D127" s="33" t="n"/>
      <c r="E127" s="33" t="n"/>
      <c r="F127" s="33" t="n"/>
      <c r="G127" s="33" t="n"/>
    </row>
    <row r="128" ht="27" customHeight="1" s="26">
      <c r="A128" s="30" t="n"/>
      <c r="B128" s="30" t="n"/>
      <c r="C128" s="27" t="n">
        <v>1772611398004</v>
      </c>
      <c r="D128" s="32">
        <f>IMAGE("https://liskibruh.github.io/l4_data_sheets_table_images_mapper/l4_problematic_frames/xl/media/image237.png")</f>
        <v/>
      </c>
      <c r="E128" s="30" t="n"/>
      <c r="F128" s="30" t="n"/>
      <c r="G128" s="27" t="inlineStr">
        <is>
          <t>Missed Static Object</t>
        </is>
      </c>
    </row>
    <row r="129" ht="17" customHeight="1" s="26">
      <c r="A129" s="33" t="n"/>
      <c r="B129" s="33" t="n"/>
      <c r="C129" s="33" t="n"/>
      <c r="D129" s="33" t="n"/>
      <c r="E129" s="33" t="n"/>
      <c r="F129" s="33" t="n"/>
      <c r="G129" s="33" t="n"/>
    </row>
    <row r="130" ht="29" customHeight="1" s="26">
      <c r="A130" s="30" t="n"/>
      <c r="B130" s="30" t="n"/>
      <c r="C130" s="4" t="inlineStr">
        <is>
          <t>1772611398004,</t>
        </is>
      </c>
      <c r="D130" s="32">
        <f>IMAGE("https://liskibruh.github.io/l4_data_sheets_table_images_mapper/l4_problematic_frames/xl/media/image237.png")</f>
        <v/>
      </c>
      <c r="E130" s="30" t="n"/>
      <c r="F130" s="30" t="n"/>
      <c r="G130" s="27" t="inlineStr">
        <is>
          <t>Miss Classification Truck</t>
        </is>
      </c>
    </row>
    <row r="131" ht="29" customHeight="1" s="26">
      <c r="A131" s="34" t="n"/>
      <c r="B131" s="34" t="n"/>
      <c r="C131" s="10" t="inlineStr">
        <is>
          <t>1772611398305,</t>
        </is>
      </c>
      <c r="D131" s="34" t="n"/>
      <c r="E131" s="34" t="n"/>
      <c r="F131" s="34" t="n"/>
      <c r="G131" s="34" t="n"/>
    </row>
    <row r="132" ht="17" customHeight="1" s="26">
      <c r="A132" s="33" t="n"/>
      <c r="B132" s="33" t="n"/>
      <c r="C132" s="6" t="n"/>
      <c r="D132" s="33" t="n"/>
      <c r="E132" s="33" t="n"/>
      <c r="F132" s="33" t="n"/>
      <c r="G132" s="33" t="n"/>
    </row>
    <row r="133" ht="57" customHeight="1" s="26">
      <c r="A133" s="30" t="n"/>
      <c r="B133" s="30" t="n"/>
      <c r="C133" s="4" t="inlineStr">
        <is>
          <t>1772611413404_1172611415305,</t>
        </is>
      </c>
      <c r="D133" s="32">
        <f>IMAGE("https://liskibruh.github.io/l4_data_sheets_table_images_mapper/l4_problematic_frames/xl/media/image238.png")</f>
        <v/>
      </c>
      <c r="E133" s="32">
        <f>IMAGE("https://liskibruh.github.io/l4_data_sheets_table_images_mapper/l4_problematic_frames/xl/media/image239.png")</f>
        <v/>
      </c>
      <c r="F133" s="30" t="n"/>
      <c r="G133" s="27" t="inlineStr">
        <is>
          <t>False Positive Static Object</t>
        </is>
      </c>
    </row>
    <row r="134" ht="59" customHeight="1" s="26">
      <c r="A134" s="33" t="n"/>
      <c r="B134" s="33" t="n"/>
      <c r="C134" s="7" t="inlineStr">
        <is>
          <t>1772611417404_1772611418405</t>
        </is>
      </c>
      <c r="D134" s="33" t="n"/>
      <c r="E134" s="33" t="n"/>
      <c r="F134" s="33" t="n"/>
      <c r="G134" s="33" t="n"/>
    </row>
    <row r="135" ht="29" customHeight="1" s="26">
      <c r="A135" s="30" t="n"/>
      <c r="B135" s="30" t="n"/>
      <c r="C135" s="4" t="inlineStr">
        <is>
          <t>1172611427103,</t>
        </is>
      </c>
      <c r="D135" s="32">
        <f>IMAGE("https://liskibruh.github.io/l4_data_sheets_table_images_mapper/l4_problematic_frames/xl/media/image240.png")</f>
        <v/>
      </c>
      <c r="E135" s="30" t="n"/>
      <c r="F135" s="30" t="n"/>
      <c r="G135" s="27" t="inlineStr">
        <is>
          <t>Missed Static Object</t>
        </is>
      </c>
    </row>
    <row r="136" ht="29" customHeight="1" s="26">
      <c r="A136" s="34" t="n"/>
      <c r="B136" s="34" t="n"/>
      <c r="C136" s="10" t="inlineStr">
        <is>
          <t>1172611427603,</t>
        </is>
      </c>
      <c r="D136" s="34" t="n"/>
      <c r="E136" s="34" t="n"/>
      <c r="F136" s="34" t="n"/>
      <c r="G136" s="34" t="n"/>
    </row>
    <row r="137" ht="29" customHeight="1" s="26">
      <c r="A137" s="34" t="n"/>
      <c r="B137" s="34" t="n"/>
      <c r="C137" s="10" t="inlineStr">
        <is>
          <t>1772611428203,</t>
        </is>
      </c>
      <c r="D137" s="34" t="n"/>
      <c r="E137" s="34" t="n"/>
      <c r="F137" s="34" t="n"/>
      <c r="G137" s="34" t="n"/>
    </row>
    <row r="138" ht="17" customHeight="1" s="26">
      <c r="A138" s="33" t="n"/>
      <c r="B138" s="33" t="n"/>
      <c r="C138" s="6" t="n"/>
      <c r="D138" s="33" t="n"/>
      <c r="E138" s="33" t="n"/>
      <c r="F138" s="33" t="n"/>
      <c r="G138" s="33" t="n"/>
    </row>
    <row r="139" ht="41" customHeight="1" s="26">
      <c r="A139" s="30" t="n"/>
      <c r="B139" s="30" t="n"/>
      <c r="C139" s="27" t="inlineStr">
        <is>
          <t>1772611427705_177261428605</t>
        </is>
      </c>
      <c r="D139" s="32">
        <f>IMAGE("https://liskibruh.github.io/l4_data_sheets_table_images_mapper/l4_problematic_frames/xl/media/image241.png")</f>
        <v/>
      </c>
      <c r="E139" s="30" t="n"/>
      <c r="F139" s="30" t="n"/>
      <c r="G139" s="27" t="inlineStr">
        <is>
          <t>Missed Static Object</t>
        </is>
      </c>
    </row>
    <row r="140" ht="17" customHeight="1" s="26">
      <c r="A140" s="33" t="n"/>
      <c r="B140" s="33" t="n"/>
      <c r="C140" s="33" t="n"/>
      <c r="D140" s="33" t="n"/>
      <c r="E140" s="33" t="n"/>
      <c r="F140" s="33" t="n"/>
      <c r="G140" s="33" t="n"/>
    </row>
    <row r="141" ht="41" customHeight="1" s="26">
      <c r="A141" s="30" t="n"/>
      <c r="B141" s="30" t="n"/>
      <c r="C141" s="27" t="n">
        <v>1772611429603</v>
      </c>
      <c r="D141" s="32">
        <f>IMAGE("https://liskibruh.github.io/l4_data_sheets_table_images_mapper/l4_problematic_frames/xl/media/image242.png")</f>
        <v/>
      </c>
      <c r="E141" s="30" t="n"/>
      <c r="F141" s="30" t="n"/>
      <c r="G141" s="27" t="inlineStr">
        <is>
          <t>Missed Multiple Static Objects</t>
        </is>
      </c>
    </row>
    <row r="142" ht="17" customHeight="1" s="26">
      <c r="A142" s="33" t="n"/>
      <c r="B142" s="33" t="n"/>
      <c r="C142" s="33" t="n"/>
      <c r="D142" s="33" t="n"/>
      <c r="E142" s="33" t="n"/>
      <c r="F142" s="33" t="n"/>
      <c r="G142" s="33" t="n"/>
    </row>
    <row r="143" ht="41" customHeight="1" s="26">
      <c r="A143" s="30" t="n"/>
      <c r="B143" s="30" t="n"/>
      <c r="C143" s="27" t="inlineStr">
        <is>
          <t>1772611429704_1772611430804</t>
        </is>
      </c>
      <c r="D143" s="32">
        <f>IMAGE("https://liskibruh.github.io/l4_data_sheets_table_images_mapper/l4_problematic_frames/xl/media/image243.png")</f>
        <v/>
      </c>
      <c r="E143" s="30" t="n"/>
      <c r="F143" s="30" t="n"/>
      <c r="G143" s="27" t="inlineStr">
        <is>
          <t>Missed Static Object</t>
        </is>
      </c>
    </row>
    <row r="144" ht="17" customHeight="1" s="26">
      <c r="A144" s="33" t="n"/>
      <c r="B144" s="33" t="n"/>
      <c r="C144" s="33" t="n"/>
      <c r="D144" s="33" t="n"/>
      <c r="E144" s="33" t="n"/>
      <c r="F144" s="33" t="n"/>
      <c r="G144" s="33" t="n"/>
    </row>
    <row r="145" ht="29" customHeight="1" s="26">
      <c r="A145" s="30" t="n"/>
      <c r="B145" s="30" t="n"/>
      <c r="C145" s="4" t="inlineStr">
        <is>
          <t>172611431303,</t>
        </is>
      </c>
      <c r="D145" s="32">
        <f>IMAGE("https://liskibruh.github.io/l4_data_sheets_table_images_mapper/l4_problematic_frames/xl/media/image244.png")</f>
        <v/>
      </c>
      <c r="E145" s="30" t="n"/>
      <c r="F145" s="30" t="n"/>
      <c r="G145" s="27" t="inlineStr">
        <is>
          <t>Missed Static Object</t>
        </is>
      </c>
    </row>
    <row r="146" ht="17" customHeight="1" s="26">
      <c r="A146" s="33" t="n"/>
      <c r="B146" s="33" t="n"/>
      <c r="C146" s="7" t="n">
        <v>1772611432003</v>
      </c>
      <c r="D146" s="33" t="n"/>
      <c r="E146" s="33" t="n"/>
      <c r="F146" s="33" t="n"/>
      <c r="G146" s="33" t="n"/>
    </row>
    <row r="147" ht="27" customHeight="1" s="26">
      <c r="A147" s="30" t="n"/>
      <c r="B147" s="30" t="n"/>
      <c r="C147" s="27" t="n">
        <v>1772611431505</v>
      </c>
      <c r="D147" s="32">
        <f>IMAGE("https://liskibruh.github.io/l4_data_sheets_table_images_mapper/l4_problematic_frames/xl/media/image245.png")</f>
        <v/>
      </c>
      <c r="E147" s="30" t="n"/>
      <c r="F147" s="30" t="n"/>
      <c r="G147" s="27" t="inlineStr">
        <is>
          <t>Missed Static Object</t>
        </is>
      </c>
    </row>
    <row r="148" ht="17" customHeight="1" s="26">
      <c r="A148" s="33" t="n"/>
      <c r="B148" s="33" t="n"/>
      <c r="C148" s="33" t="n"/>
      <c r="D148" s="33" t="n"/>
      <c r="E148" s="33" t="n"/>
      <c r="F148" s="33" t="n"/>
      <c r="G148" s="33" t="n"/>
    </row>
    <row r="149" ht="41" customHeight="1" s="26">
      <c r="A149" s="30" t="n"/>
      <c r="B149" s="30" t="n"/>
      <c r="C149" s="27" t="inlineStr">
        <is>
          <t>1772611429704_1772611434404</t>
        </is>
      </c>
      <c r="D149" s="32">
        <f>IMAGE("https://liskibruh.github.io/l4_data_sheets_table_images_mapper/l4_problematic_frames/xl/media/image246.png")</f>
        <v/>
      </c>
      <c r="E149" s="30" t="n"/>
      <c r="F149" s="30" t="n"/>
      <c r="G149" s="27" t="inlineStr">
        <is>
          <t>Missed static object</t>
        </is>
      </c>
    </row>
    <row r="150" ht="17" customHeight="1" s="26">
      <c r="A150" s="33" t="n"/>
      <c r="B150" s="33" t="n"/>
      <c r="C150" s="33" t="n"/>
      <c r="D150" s="33" t="n"/>
      <c r="E150" s="33" t="n"/>
      <c r="F150" s="33" t="n"/>
      <c r="G150" s="33" t="n"/>
    </row>
    <row r="151" ht="41" customHeight="1" s="26">
      <c r="A151" s="30" t="n"/>
      <c r="B151" s="30" t="n"/>
      <c r="C151" s="27" t="inlineStr">
        <is>
          <t>1772611434503_1772611435305</t>
        </is>
      </c>
      <c r="D151" s="32">
        <f>IMAGE("https://liskibruh.github.io/l4_data_sheets_table_images_mapper/l4_problematic_frames/xl/media/image247.png")</f>
        <v/>
      </c>
      <c r="E151" s="30" t="n"/>
      <c r="F151" s="30" t="n"/>
      <c r="G151" s="27" t="inlineStr">
        <is>
          <t>Missed Static Object</t>
        </is>
      </c>
    </row>
    <row r="152" ht="17" customHeight="1" s="26">
      <c r="A152" s="33" t="n"/>
      <c r="B152" s="33" t="n"/>
      <c r="C152" s="33" t="n"/>
      <c r="D152" s="33" t="n"/>
      <c r="E152" s="33" t="n"/>
      <c r="F152" s="33" t="n"/>
      <c r="G152" s="33" t="n"/>
    </row>
    <row r="153" ht="41" customHeight="1" s="26">
      <c r="A153" s="30" t="n"/>
      <c r="B153" s="30" t="n"/>
      <c r="C153" s="27" t="inlineStr">
        <is>
          <t>1772611438605_1172611439504</t>
        </is>
      </c>
      <c r="D153" s="32">
        <f>IMAGE("https://liskibruh.github.io/l4_data_sheets_table_images_mapper/l4_problematic_frames/xl/media/image248.png")</f>
        <v/>
      </c>
      <c r="E153" s="30" t="n"/>
      <c r="F153" s="30" t="n"/>
      <c r="G153" s="27" t="inlineStr">
        <is>
          <t>Miss classification Truck</t>
        </is>
      </c>
    </row>
    <row r="154" ht="17" customHeight="1" s="26">
      <c r="A154" s="33" t="n"/>
      <c r="B154" s="33" t="n"/>
      <c r="C154" s="33" t="n"/>
      <c r="D154" s="33" t="n"/>
      <c r="E154" s="33" t="n"/>
      <c r="F154" s="33" t="n"/>
      <c r="G154" s="33" t="n"/>
    </row>
    <row r="155" ht="41" customHeight="1" s="26">
      <c r="A155" s="30" t="n"/>
      <c r="B155" s="30" t="n"/>
      <c r="C155" s="27" t="inlineStr">
        <is>
          <t>1772611440604_1772611441505</t>
        </is>
      </c>
      <c r="D155" s="32">
        <f>IMAGE("https://liskibruh.github.io/l4_data_sheets_table_images_mapper/l4_problematic_frames/xl/media/image249.png")</f>
        <v/>
      </c>
      <c r="E155" s="30" t="n"/>
      <c r="F155" s="30" t="n"/>
      <c r="G155" s="27" t="inlineStr">
        <is>
          <t>Missed static object</t>
        </is>
      </c>
    </row>
    <row r="156" ht="17" customHeight="1" s="26">
      <c r="A156" s="33" t="n"/>
      <c r="B156" s="33" t="n"/>
      <c r="C156" s="33" t="n"/>
      <c r="D156" s="33" t="n"/>
      <c r="E156" s="33" t="n"/>
      <c r="F156" s="33" t="n"/>
      <c r="G156" s="33" t="n"/>
    </row>
    <row r="157" ht="41" customHeight="1" s="26">
      <c r="A157" s="30" t="n"/>
      <c r="B157" s="30" t="n"/>
      <c r="C157" s="35" t="n">
        <v>1.77261145190517e+25</v>
      </c>
      <c r="D157" s="32">
        <f>IMAGE("https://liskibruh.github.io/l4_data_sheets_table_images_mapper/l4_problematic_frames/xl/media/image250.png")</f>
        <v/>
      </c>
      <c r="E157" s="30" t="n"/>
      <c r="F157" s="30" t="n"/>
      <c r="G157" s="27" t="inlineStr">
        <is>
          <t>Missed static object</t>
        </is>
      </c>
    </row>
    <row r="158" ht="17" customHeight="1" s="26">
      <c r="A158" s="33" t="n"/>
      <c r="B158" s="33" t="n"/>
      <c r="C158" s="33" t="n"/>
      <c r="D158" s="33" t="n"/>
      <c r="E158" s="33" t="n"/>
      <c r="F158" s="33" t="n"/>
      <c r="G158" s="33" t="n"/>
    </row>
    <row r="159" ht="27" customHeight="1" s="26">
      <c r="A159" s="30" t="n"/>
      <c r="B159" s="30" t="n"/>
      <c r="C159" s="27" t="n">
        <v>1772611453205</v>
      </c>
      <c r="D159" s="32">
        <f>IMAGE("https://liskibruh.github.io/l4_data_sheets_table_images_mapper/l4_problematic_frames/xl/media/image251.png")</f>
        <v/>
      </c>
      <c r="E159" s="30" t="n"/>
      <c r="F159" s="30" t="n"/>
      <c r="G159" s="27" t="inlineStr">
        <is>
          <t>Missed static object</t>
        </is>
      </c>
    </row>
    <row r="160" ht="17" customHeight="1" s="26">
      <c r="A160" s="33" t="n"/>
      <c r="B160" s="33" t="n"/>
      <c r="C160" s="33" t="n"/>
      <c r="D160" s="33" t="n"/>
      <c r="E160" s="33" t="n"/>
      <c r="F160" s="33" t="n"/>
      <c r="G160" s="33" t="n"/>
    </row>
    <row r="161" ht="41" customHeight="1" s="26">
      <c r="A161" s="30" t="n"/>
      <c r="B161" s="30" t="n"/>
      <c r="C161" s="27" t="inlineStr">
        <is>
          <t>1772611452904_1772611453304</t>
        </is>
      </c>
      <c r="D161" s="32">
        <f>IMAGE("https://liskibruh.github.io/l4_data_sheets_table_images_mapper/l4_problematic_frames/xl/media/image252.png")</f>
        <v/>
      </c>
      <c r="E161" s="30" t="n"/>
      <c r="F161" s="30" t="n"/>
      <c r="G161" s="27" t="inlineStr">
        <is>
          <t>Missed static object</t>
        </is>
      </c>
    </row>
    <row r="162" ht="17" customHeight="1" s="26">
      <c r="A162" s="33" t="n"/>
      <c r="B162" s="33" t="n"/>
      <c r="C162" s="33" t="n"/>
      <c r="D162" s="33" t="n"/>
      <c r="E162" s="33" t="n"/>
      <c r="F162" s="33" t="n"/>
      <c r="G162" s="33" t="n"/>
    </row>
    <row r="163" ht="41" customHeight="1" s="26">
      <c r="A163" s="30" t="n"/>
      <c r="B163" s="30" t="n"/>
      <c r="C163" s="27" t="inlineStr">
        <is>
          <t>1772611776004_1772611777004</t>
        </is>
      </c>
      <c r="D163" s="32">
        <f>IMAGE("https://liskibruh.github.io/l4_data_sheets_table_images_mapper/l4_problematic_frames/xl/media/image253.png")</f>
        <v/>
      </c>
      <c r="E163" s="30" t="n"/>
      <c r="F163" s="30" t="n"/>
      <c r="G163" s="27" t="inlineStr">
        <is>
          <t>Missed Truck</t>
        </is>
      </c>
    </row>
    <row r="164" ht="17" customHeight="1" s="26">
      <c r="A164" s="33" t="n"/>
      <c r="B164" s="33" t="n"/>
      <c r="C164" s="33" t="n"/>
      <c r="D164" s="33" t="n"/>
      <c r="E164" s="33" t="n"/>
      <c r="F164" s="33" t="n"/>
      <c r="G164" s="33" t="n"/>
    </row>
    <row r="165" ht="41" customHeight="1" s="26">
      <c r="A165" s="30" t="n"/>
      <c r="B165" s="30" t="n"/>
      <c r="C165" s="27" t="inlineStr">
        <is>
          <t>1772611774904_1772611778304</t>
        </is>
      </c>
      <c r="D165" s="32">
        <f>IMAGE("https://liskibruh.github.io/l4_data_sheets_table_images_mapper/l4_problematic_frames/xl/media/image254.png")</f>
        <v/>
      </c>
      <c r="E165" s="30" t="n"/>
      <c r="F165" s="30" t="n"/>
      <c r="G165" s="27" t="inlineStr">
        <is>
          <t>Missed Truck</t>
        </is>
      </c>
    </row>
    <row r="166" ht="17" customHeight="1" s="26">
      <c r="A166" s="33" t="n"/>
      <c r="B166" s="33" t="n"/>
      <c r="C166" s="33" t="n"/>
      <c r="D166" s="33" t="n"/>
      <c r="E166" s="33" t="n"/>
      <c r="F166" s="33" t="n"/>
      <c r="G166" s="33" t="n"/>
    </row>
    <row r="167" ht="17" customHeight="1" s="26">
      <c r="A167" s="30" t="n"/>
      <c r="B167" s="30" t="n"/>
      <c r="C167" s="27" t="n">
        <v>1772611778704</v>
      </c>
      <c r="D167" s="32">
        <f>IMAGE("https://liskibruh.github.io/l4_data_sheets_table_images_mapper/l4_problematic_frames/xl/media/image255.png")</f>
        <v/>
      </c>
      <c r="E167" s="30" t="n"/>
      <c r="F167" s="30" t="n"/>
      <c r="G167" s="27" t="inlineStr">
        <is>
          <t>Missed Truck</t>
        </is>
      </c>
    </row>
    <row r="168" ht="17" customHeight="1" s="26">
      <c r="A168" s="33" t="n"/>
      <c r="B168" s="33" t="n"/>
      <c r="C168" s="33" t="n"/>
      <c r="D168" s="33" t="n"/>
      <c r="E168" s="33" t="n"/>
      <c r="F168" s="33" t="n"/>
      <c r="G168" s="33" t="n"/>
    </row>
    <row r="169" ht="27" customHeight="1" s="26">
      <c r="A169" s="30" t="n"/>
      <c r="B169" s="30" t="n"/>
      <c r="C169" s="27" t="n">
        <v>1772611779504</v>
      </c>
      <c r="D169" s="32">
        <f>IMAGE("https://liskibruh.github.io/l4_data_sheets_table_images_mapper/l4_problematic_frames/xl/media/image256.png")</f>
        <v/>
      </c>
      <c r="E169" s="30" t="n"/>
      <c r="F169" s="30" t="n"/>
      <c r="G169" s="27" t="inlineStr">
        <is>
          <t>Missed Static Objects</t>
        </is>
      </c>
    </row>
    <row r="170" ht="17" customHeight="1" s="26">
      <c r="A170" s="33" t="n"/>
      <c r="B170" s="33" t="n"/>
      <c r="C170" s="33" t="n"/>
      <c r="D170" s="33" t="n"/>
      <c r="E170" s="33" t="n"/>
      <c r="F170" s="33" t="n"/>
      <c r="G170" s="33" t="n"/>
    </row>
    <row r="171" ht="27" customHeight="1" s="26">
      <c r="A171" s="30" t="n"/>
      <c r="B171" s="30" t="n"/>
      <c r="C171" s="27" t="n">
        <v>1772611779805</v>
      </c>
      <c r="D171" s="32">
        <f>IMAGE("https://liskibruh.github.io/l4_data_sheets_table_images_mapper/l4_problematic_frames/xl/media/image257.png")</f>
        <v/>
      </c>
      <c r="E171" s="30" t="n"/>
      <c r="F171" s="30" t="n"/>
      <c r="G171" s="27" t="inlineStr">
        <is>
          <t>Missed Static Objects</t>
        </is>
      </c>
    </row>
    <row r="172" ht="17" customHeight="1" s="26">
      <c r="A172" s="33" t="n"/>
      <c r="B172" s="33" t="n"/>
      <c r="C172" s="33" t="n"/>
      <c r="D172" s="33" t="n"/>
      <c r="E172" s="33" t="n"/>
      <c r="F172" s="33" t="n"/>
      <c r="G172" s="33" t="n"/>
    </row>
    <row r="173" ht="43" customHeight="1" s="26">
      <c r="A173" s="30" t="n"/>
      <c r="B173" s="30" t="n"/>
      <c r="C173" s="27" t="inlineStr">
        <is>
          <t>1772611783204_1772611784505</t>
        </is>
      </c>
      <c r="D173" s="32">
        <f>IMAGE("https://liskibruh.github.io/l4_data_sheets_table_images_mapper/l4_problematic_frames/xl/media/image258.png")</f>
        <v/>
      </c>
      <c r="E173" s="30" t="n"/>
      <c r="F173" s="30" t="n"/>
      <c r="G173" s="4" t="inlineStr">
        <is>
          <t>Missed Static Objects,</t>
        </is>
      </c>
    </row>
    <row r="174" ht="30" customHeight="1" s="26">
      <c r="A174" s="33" t="n"/>
      <c r="B174" s="33" t="n"/>
      <c r="C174" s="33" t="n"/>
      <c r="D174" s="33" t="n"/>
      <c r="E174" s="33" t="n"/>
      <c r="F174" s="33" t="n"/>
      <c r="G174" s="7" t="inlineStr">
        <is>
          <t>Missed Pedestrian</t>
        </is>
      </c>
    </row>
    <row r="175" ht="27" customHeight="1" s="26">
      <c r="A175" s="30" t="n"/>
      <c r="B175" s="30" t="n"/>
      <c r="C175" s="27" t="n">
        <v>1772611784904</v>
      </c>
      <c r="D175" s="32">
        <f>IMAGE("https://liskibruh.github.io/l4_data_sheets_table_images_mapper/l4_problematic_frames/xl/media/image259.png")</f>
        <v/>
      </c>
      <c r="E175" s="30" t="n"/>
      <c r="F175" s="30" t="n"/>
      <c r="G175" s="27" t="inlineStr">
        <is>
          <t>Missed Static Objects</t>
        </is>
      </c>
    </row>
    <row r="176" ht="17" customHeight="1" s="26">
      <c r="A176" s="33" t="n"/>
      <c r="B176" s="33" t="n"/>
      <c r="C176" s="33" t="n"/>
      <c r="D176" s="33" t="n"/>
      <c r="E176" s="33" t="n"/>
      <c r="F176" s="33" t="n"/>
      <c r="G176" s="33" t="n"/>
    </row>
    <row r="177" ht="41" customHeight="1" s="26">
      <c r="A177" s="30" t="n"/>
      <c r="B177" s="30" t="n"/>
      <c r="C177" s="27" t="inlineStr">
        <is>
          <t>1772611789604_1772611792904</t>
        </is>
      </c>
      <c r="D177" s="32">
        <f>IMAGE("https://liskibruh.github.io/l4_data_sheets_table_images_mapper/l4_problematic_frames/xl/media/image260.png")</f>
        <v/>
      </c>
      <c r="E177" s="30" t="n"/>
      <c r="F177" s="30" t="n"/>
      <c r="G177" s="27" t="inlineStr">
        <is>
          <t>Missed Static Objects</t>
        </is>
      </c>
    </row>
    <row r="178" ht="17" customHeight="1" s="26">
      <c r="A178" s="33" t="n"/>
      <c r="B178" s="33" t="n"/>
      <c r="C178" s="33" t="n"/>
      <c r="D178" s="33" t="n"/>
      <c r="E178" s="33" t="n"/>
      <c r="F178" s="33" t="n"/>
      <c r="G178" s="33" t="n"/>
    </row>
    <row r="179" ht="55" customHeight="1" s="26">
      <c r="A179" s="30" t="n"/>
      <c r="B179" s="30" t="n"/>
      <c r="C179" s="27" t="inlineStr">
        <is>
          <t>1772611790705_1772611791804</t>
        </is>
      </c>
      <c r="D179" s="32">
        <f>IMAGE("https://liskibruh.github.io/l4_data_sheets_table_images_mapper/l4_problematic_frames/xl/media/image261.png")</f>
        <v/>
      </c>
      <c r="E179" s="30" t="n"/>
      <c r="F179" s="30" t="n"/>
      <c r="G179" s="27" t="inlineStr">
        <is>
          <t>Truck Orientation MissClassification</t>
        </is>
      </c>
    </row>
    <row r="180" ht="17" customHeight="1" s="26">
      <c r="A180" s="33" t="n"/>
      <c r="B180" s="33" t="n"/>
      <c r="C180" s="33" t="n"/>
      <c r="D180" s="33" t="n"/>
      <c r="E180" s="33" t="n"/>
      <c r="F180" s="33" t="n"/>
      <c r="G180" s="33" t="n"/>
    </row>
    <row r="181" ht="41" customHeight="1" s="26">
      <c r="A181" s="30" t="n"/>
      <c r="B181" s="30" t="n"/>
      <c r="C181" s="27" t="inlineStr">
        <is>
          <t>1772611793004_1772611793705</t>
        </is>
      </c>
      <c r="D181" s="32">
        <f>IMAGE("https://liskibruh.github.io/l4_data_sheets_table_images_mapper/l4_problematic_frames/xl/media/image262.png")</f>
        <v/>
      </c>
      <c r="E181" s="30" t="n"/>
      <c r="F181" s="30" t="n"/>
      <c r="G181" s="27" t="inlineStr">
        <is>
          <t>Missed Human</t>
        </is>
      </c>
    </row>
    <row r="182" ht="17" customHeight="1" s="26">
      <c r="A182" s="33" t="n"/>
      <c r="B182" s="33" t="n"/>
      <c r="C182" s="33" t="n"/>
      <c r="D182" s="33" t="n"/>
      <c r="E182" s="33" t="n"/>
      <c r="F182" s="33" t="n"/>
      <c r="G182" s="33" t="n"/>
    </row>
    <row r="183" ht="41" customHeight="1" s="26">
      <c r="A183" s="30" t="n"/>
      <c r="B183" s="30" t="n"/>
      <c r="C183" s="27" t="inlineStr">
        <is>
          <t>17726117951505_1772611796104</t>
        </is>
      </c>
      <c r="D183" s="32">
        <f>IMAGE("https://liskibruh.github.io/l4_data_sheets_table_images_mapper/l4_problematic_frames/xl/media/image263.png")</f>
        <v/>
      </c>
      <c r="E183" s="30" t="n"/>
      <c r="F183" s="30" t="n"/>
      <c r="G183" s="27" t="inlineStr">
        <is>
          <t>Missed Static Objects</t>
        </is>
      </c>
    </row>
    <row r="184" ht="17" customHeight="1" s="26">
      <c r="A184" s="33" t="n"/>
      <c r="B184" s="33" t="n"/>
      <c r="C184" s="33" t="n"/>
      <c r="D184" s="33" t="n"/>
      <c r="E184" s="33" t="n"/>
      <c r="F184" s="33" t="n"/>
      <c r="G184" s="33" t="n"/>
    </row>
    <row r="185" ht="41" customHeight="1" s="26">
      <c r="A185" s="30" t="n"/>
      <c r="B185" s="30" t="n"/>
      <c r="C185" s="27" t="inlineStr">
        <is>
          <t>1772611800705_1772611801904</t>
        </is>
      </c>
      <c r="D185" s="32">
        <f>IMAGE("https://liskibruh.github.io/l4_data_sheets_table_images_mapper/l4_problematic_frames/xl/media/image264.png")</f>
        <v/>
      </c>
      <c r="E185" s="30" t="n"/>
      <c r="F185" s="30" t="n"/>
      <c r="G185" s="27" t="inlineStr">
        <is>
          <t>Missed Static Objects</t>
        </is>
      </c>
    </row>
    <row r="186" ht="17" customHeight="1" s="26">
      <c r="A186" s="33" t="n"/>
      <c r="B186" s="33" t="n"/>
      <c r="C186" s="33" t="n"/>
      <c r="D186" s="33" t="n"/>
      <c r="E186" s="33" t="n"/>
      <c r="F186" s="33" t="n"/>
      <c r="G186" s="33" t="n"/>
    </row>
    <row r="187" ht="41" customHeight="1" s="26">
      <c r="A187" s="30" t="n"/>
      <c r="B187" s="30" t="n"/>
      <c r="C187" s="27" t="inlineStr">
        <is>
          <t>1772611800404_1772611807004</t>
        </is>
      </c>
      <c r="D187" s="32">
        <f>IMAGE("https://liskibruh.github.io/l4_data_sheets_table_images_mapper/l4_problematic_frames/xl/media/image265.png")</f>
        <v/>
      </c>
      <c r="E187" s="30" t="n"/>
      <c r="F187" s="30" t="n"/>
      <c r="G187" s="27" t="inlineStr">
        <is>
          <t>Missed Truck, Missed Human</t>
        </is>
      </c>
    </row>
    <row r="188" ht="17" customHeight="1" s="26">
      <c r="A188" s="33" t="n"/>
      <c r="B188" s="33" t="n"/>
      <c r="C188" s="33" t="n"/>
      <c r="D188" s="33" t="n"/>
      <c r="E188" s="33" t="n"/>
      <c r="F188" s="33" t="n"/>
      <c r="G188" s="33" t="n"/>
    </row>
    <row r="189" ht="29" customHeight="1" s="26">
      <c r="A189" s="30" t="n"/>
      <c r="B189" s="30" t="n"/>
      <c r="C189" s="4" t="inlineStr">
        <is>
          <t>1772611807304,</t>
        </is>
      </c>
      <c r="D189" s="32">
        <f>IMAGE("https://liskibruh.github.io/l4_data_sheets_table_images_mapper/l4_problematic_frames/xl/media/image266.png")</f>
        <v/>
      </c>
      <c r="E189" s="32">
        <f>IMAGE("https://liskibruh.github.io/l4_data_sheets_table_images_mapper/l4_problematic_frames/xl/media/image267.png")</f>
        <v/>
      </c>
      <c r="F189" s="30" t="n"/>
      <c r="G189" s="27" t="inlineStr">
        <is>
          <t>Missed Car</t>
        </is>
      </c>
    </row>
    <row r="190" ht="17" customHeight="1" s="26">
      <c r="A190" s="34" t="n"/>
      <c r="B190" s="34" t="n"/>
      <c r="C190" s="10" t="n">
        <v>1772611807805</v>
      </c>
      <c r="D190" s="34" t="n"/>
      <c r="E190" s="34" t="n"/>
      <c r="F190" s="34" t="n"/>
      <c r="G190" s="34" t="n"/>
    </row>
    <row r="191" ht="17" customHeight="1" s="26">
      <c r="A191" s="33" t="n"/>
      <c r="B191" s="33" t="n"/>
      <c r="C191" s="6" t="n"/>
      <c r="D191" s="33" t="n"/>
      <c r="E191" s="33" t="n"/>
      <c r="F191" s="33" t="n"/>
      <c r="G191" s="33" t="n"/>
    </row>
    <row r="192" ht="29" customHeight="1" s="26">
      <c r="A192" s="30" t="n"/>
      <c r="B192" s="30" t="n"/>
      <c r="C192" s="27" t="inlineStr">
        <is>
          <t>1772611808405_1772611809504</t>
        </is>
      </c>
      <c r="D192" s="32">
        <f>IMAGE("https://liskibruh.github.io/l4_data_sheets_table_images_mapper/l4_problematic_frames/xl/media/image268.png")</f>
        <v/>
      </c>
      <c r="E192" s="30" t="n"/>
      <c r="F192" s="30" t="n"/>
      <c r="G192" s="4" t="inlineStr">
        <is>
          <t>Missed Car,</t>
        </is>
      </c>
    </row>
    <row r="193" ht="29" customHeight="1" s="26">
      <c r="A193" s="34" t="n"/>
      <c r="B193" s="34" t="n"/>
      <c r="C193" s="34" t="n"/>
      <c r="D193" s="34" t="n"/>
      <c r="E193" s="34" t="n"/>
      <c r="F193" s="34" t="n"/>
      <c r="G193" s="10" t="inlineStr">
        <is>
          <t>Missed Truck,</t>
        </is>
      </c>
    </row>
    <row r="194" ht="30" customHeight="1" s="26">
      <c r="A194" s="33" t="n"/>
      <c r="B194" s="33" t="n"/>
      <c r="C194" s="33" t="n"/>
      <c r="D194" s="33" t="n"/>
      <c r="E194" s="33" t="n"/>
      <c r="F194" s="33" t="n"/>
      <c r="G194" s="7" t="inlineStr">
        <is>
          <t>Missed Pedestrian</t>
        </is>
      </c>
    </row>
    <row r="195" ht="41" customHeight="1" s="26">
      <c r="A195" s="30" t="n"/>
      <c r="B195" s="30" t="n"/>
      <c r="C195" s="27" t="inlineStr">
        <is>
          <t>1772611808405_1772611809504</t>
        </is>
      </c>
      <c r="D195" s="32">
        <f>IMAGE("https://liskibruh.github.io/l4_data_sheets_table_images_mapper/l4_problematic_frames/xl/media/image268.png")</f>
        <v/>
      </c>
      <c r="E195" s="30" t="n"/>
      <c r="F195" s="30" t="n"/>
      <c r="G195" s="27" t="inlineStr">
        <is>
          <t>False Positive</t>
        </is>
      </c>
    </row>
    <row r="196" ht="17" customHeight="1" s="26">
      <c r="A196" s="33" t="n"/>
      <c r="B196" s="33" t="n"/>
      <c r="C196" s="33" t="n"/>
      <c r="D196" s="33" t="n"/>
      <c r="E196" s="33" t="n"/>
      <c r="F196" s="33" t="n"/>
      <c r="G196" s="33" t="n"/>
    </row>
    <row r="197" ht="57" customHeight="1" s="26">
      <c r="A197" s="30" t="n"/>
      <c r="B197" s="30" t="n"/>
      <c r="C197" s="4" t="inlineStr">
        <is>
          <t>1772611809804_1772611809904,</t>
        </is>
      </c>
      <c r="D197" s="32">
        <f>IMAGE("https://liskibruh.github.io/l4_data_sheets_table_images_mapper/l4_problematic_frames/xl/media/image269.png")</f>
        <v/>
      </c>
      <c r="E197" s="30" t="n"/>
      <c r="F197" s="30" t="n"/>
      <c r="G197" s="27" t="inlineStr">
        <is>
          <t>Missed Car</t>
        </is>
      </c>
    </row>
    <row r="198" ht="17" customHeight="1" s="26">
      <c r="A198" s="33" t="n"/>
      <c r="B198" s="33" t="n"/>
      <c r="C198" s="7" t="n">
        <v>1172611810304</v>
      </c>
      <c r="D198" s="33" t="n"/>
      <c r="E198" s="33" t="n"/>
      <c r="F198" s="33" t="n"/>
      <c r="G198" s="33" t="n"/>
    </row>
    <row r="199" ht="41" customHeight="1" s="26">
      <c r="A199" s="30" t="n"/>
      <c r="B199" s="30" t="n"/>
      <c r="C199" s="27" t="inlineStr">
        <is>
          <t>1772611809604_1772611811905</t>
        </is>
      </c>
      <c r="D199" s="32">
        <f>IMAGE("https://liskibruh.github.io/l4_data_sheets_table_images_mapper/l4_problematic_frames/xl/media/image270.png")</f>
        <v/>
      </c>
      <c r="E199" s="30" t="n"/>
      <c r="F199" s="30" t="n"/>
      <c r="G199" s="27" t="inlineStr">
        <is>
          <t>Missed Static Object</t>
        </is>
      </c>
    </row>
    <row r="200" ht="17" customHeight="1" s="26">
      <c r="A200" s="33" t="n"/>
      <c r="B200" s="33" t="n"/>
      <c r="C200" s="33" t="n"/>
      <c r="D200" s="33" t="n"/>
      <c r="E200" s="33" t="n"/>
      <c r="F200" s="33" t="n"/>
      <c r="G200" s="33" t="n"/>
    </row>
    <row r="201" ht="41" customHeight="1" s="26">
      <c r="A201" s="30" t="n"/>
      <c r="B201" s="30" t="n"/>
      <c r="C201" s="27" t="inlineStr">
        <is>
          <t>1772611812005_1772611815005</t>
        </is>
      </c>
      <c r="D201" s="32">
        <f>IMAGE("https://liskibruh.github.io/l4_data_sheets_table_images_mapper/l4_problematic_frames/xl/media/image271.png")</f>
        <v/>
      </c>
      <c r="E201" s="30" t="n"/>
      <c r="F201" s="30" t="n"/>
      <c r="G201" s="27" t="inlineStr">
        <is>
          <t>Miss Classification of Truck</t>
        </is>
      </c>
    </row>
    <row r="202" ht="17" customHeight="1" s="26">
      <c r="A202" s="33" t="n"/>
      <c r="B202" s="33" t="n"/>
      <c r="C202" s="33" t="n"/>
      <c r="D202" s="33" t="n"/>
      <c r="E202" s="33" t="n"/>
      <c r="F202" s="33" t="n"/>
      <c r="G202" s="33" t="n"/>
    </row>
    <row r="203" ht="29" customHeight="1" s="26">
      <c r="A203" s="30" t="n"/>
      <c r="B203" s="30" t="n"/>
      <c r="C203" s="27" t="inlineStr">
        <is>
          <t>1772611810605_1772611815005</t>
        </is>
      </c>
      <c r="D203" s="32">
        <f>IMAGE("https://liskibruh.github.io/l4_data_sheets_table_images_mapper/l4_problematic_frames/xl/media/image272.png")</f>
        <v/>
      </c>
      <c r="E203" s="30" t="n"/>
      <c r="F203" s="30" t="n"/>
      <c r="G203" s="4" t="inlineStr">
        <is>
          <t>Missed Pedestrian</t>
        </is>
      </c>
    </row>
    <row r="204" ht="59" customHeight="1" s="26">
      <c r="A204" s="33" t="n"/>
      <c r="B204" s="33" t="n"/>
      <c r="C204" s="33" t="n"/>
      <c r="D204" s="33" t="n"/>
      <c r="E204" s="33" t="n"/>
      <c r="F204" s="33" t="n"/>
      <c r="G204" s="7" t="inlineStr">
        <is>
          <t>, Missed Car, Missed Truck</t>
        </is>
      </c>
    </row>
    <row r="205" ht="55" customHeight="1" s="26">
      <c r="A205" s="30" t="n"/>
      <c r="B205" s="30" t="n"/>
      <c r="C205" s="27" t="n">
        <v>1772611816404</v>
      </c>
      <c r="D205" s="32">
        <f>IMAGE("https://liskibruh.github.io/l4_data_sheets_table_images_mapper/l4_problematic_frames/xl/media/image273.png")</f>
        <v/>
      </c>
      <c r="E205" s="30" t="n"/>
      <c r="F205" s="30" t="n"/>
      <c r="G205" s="27" t="inlineStr">
        <is>
          <t>Car Orientation Miss Classification</t>
        </is>
      </c>
    </row>
    <row r="206" ht="17" customHeight="1" s="26">
      <c r="A206" s="33" t="n"/>
      <c r="B206" s="33" t="n"/>
      <c r="C206" s="33" t="n"/>
      <c r="D206" s="33" t="n"/>
      <c r="E206" s="33" t="n"/>
      <c r="F206" s="33" t="n"/>
      <c r="G206" s="33" t="n"/>
    </row>
    <row r="207" ht="55" customHeight="1" s="26">
      <c r="A207" s="30" t="n"/>
      <c r="B207" s="30" t="n"/>
      <c r="C207" s="27" t="inlineStr">
        <is>
          <t>1772611816704_1772611817605</t>
        </is>
      </c>
      <c r="D207" s="32">
        <f>IMAGE("https://liskibruh.github.io/l4_data_sheets_table_images_mapper/l4_problematic_frames/xl/media/image274.png")</f>
        <v/>
      </c>
      <c r="E207" s="30" t="n"/>
      <c r="F207" s="30" t="n"/>
      <c r="G207" s="27" t="inlineStr">
        <is>
          <t>Truck Orientation MissClassification</t>
        </is>
      </c>
    </row>
    <row r="208" ht="17" customHeight="1" s="26">
      <c r="A208" s="33" t="n"/>
      <c r="B208" s="33" t="n"/>
      <c r="C208" s="33" t="n"/>
      <c r="D208" s="33" t="n"/>
      <c r="E208" s="33" t="n"/>
      <c r="F208" s="33" t="n"/>
      <c r="G208" s="33" t="n"/>
    </row>
    <row r="209" ht="41" customHeight="1" s="26">
      <c r="A209" s="30" t="n"/>
      <c r="B209" s="30" t="n"/>
      <c r="C209" s="27" t="inlineStr">
        <is>
          <t>1772611817705_1772611819904</t>
        </is>
      </c>
      <c r="D209" s="32">
        <f>IMAGE("https://liskibruh.github.io/l4_data_sheets_table_images_mapper/l4_problematic_frames/xl/media/image275.png")</f>
        <v/>
      </c>
      <c r="E209" s="30" t="n"/>
      <c r="F209" s="30" t="n"/>
      <c r="G209" s="27" t="inlineStr">
        <is>
          <t>Missed Pedestrian</t>
        </is>
      </c>
    </row>
    <row r="210" ht="17" customHeight="1" s="26">
      <c r="A210" s="33" t="n"/>
      <c r="B210" s="33" t="n"/>
      <c r="C210" s="33" t="n"/>
      <c r="D210" s="33" t="n"/>
      <c r="E210" s="33" t="n"/>
      <c r="F210" s="33" t="n"/>
      <c r="G210" s="33" t="n"/>
    </row>
    <row r="211" ht="41" customHeight="1" s="26">
      <c r="A211" s="30" t="n"/>
      <c r="B211" s="30" t="n"/>
      <c r="C211" s="27" t="inlineStr">
        <is>
          <t>1772611821305_1772611823805</t>
        </is>
      </c>
      <c r="D211" s="32">
        <f>IMAGE("https://liskibruh.github.io/l4_data_sheets_table_images_mapper/l4_problematic_frames/xl/media/image276.png")</f>
        <v/>
      </c>
      <c r="E211" s="30" t="n"/>
      <c r="F211" s="30" t="n"/>
      <c r="G211" s="27" t="inlineStr">
        <is>
          <t>Missed Pedestrian</t>
        </is>
      </c>
    </row>
    <row r="212" ht="17" customHeight="1" s="26">
      <c r="A212" s="33" t="n"/>
      <c r="B212" s="33" t="n"/>
      <c r="C212" s="33" t="n"/>
      <c r="D212" s="33" t="n"/>
      <c r="E212" s="33" t="n"/>
      <c r="F212" s="33" t="n"/>
      <c r="G212" s="33" t="n"/>
    </row>
    <row r="213" ht="41" customHeight="1" s="26">
      <c r="A213" s="30" t="n"/>
      <c r="B213" s="30" t="n"/>
      <c r="C213" s="27" t="inlineStr">
        <is>
          <t>1772611825305_1772611826404</t>
        </is>
      </c>
      <c r="D213" s="32">
        <f>IMAGE("https://liskibruh.github.io/l4_data_sheets_table_images_mapper/l4_problematic_frames/xl/media/image277.png")</f>
        <v/>
      </c>
      <c r="E213" s="30" t="n"/>
      <c r="F213" s="30" t="n"/>
      <c r="G213" s="27" t="inlineStr">
        <is>
          <t>Missed Static Objects</t>
        </is>
      </c>
    </row>
    <row r="214" ht="17" customHeight="1" s="26">
      <c r="A214" s="33" t="n"/>
      <c r="B214" s="33" t="n"/>
      <c r="C214" s="33" t="n"/>
      <c r="D214" s="33" t="n"/>
      <c r="E214" s="33" t="n"/>
      <c r="F214" s="33" t="n"/>
      <c r="G214" s="33" t="n"/>
    </row>
    <row r="215" ht="41" customHeight="1" s="26">
      <c r="A215" s="30" t="n"/>
      <c r="B215" s="30" t="n"/>
      <c r="C215" s="27" t="inlineStr">
        <is>
          <t>1772611821305_1772611823805</t>
        </is>
      </c>
      <c r="D215" s="32">
        <f>IMAGE("https://liskibruh.github.io/l4_data_sheets_table_images_mapper/l4_problematic_frames/xl/media/image278.png")</f>
        <v/>
      </c>
      <c r="E215" s="30" t="n"/>
      <c r="F215" s="30" t="n"/>
      <c r="G215" s="27" t="inlineStr">
        <is>
          <t>Missed Human</t>
        </is>
      </c>
    </row>
    <row r="216" ht="17" customHeight="1" s="26">
      <c r="A216" s="33" t="n"/>
      <c r="B216" s="33" t="n"/>
      <c r="C216" s="33" t="n"/>
      <c r="D216" s="33" t="n"/>
      <c r="E216" s="33" t="n"/>
      <c r="F216" s="33" t="n"/>
      <c r="G216" s="33" t="n"/>
    </row>
    <row r="217" ht="41" customHeight="1" s="26">
      <c r="A217" s="30" t="n"/>
      <c r="B217" s="30" t="n"/>
      <c r="C217" s="27" t="inlineStr">
        <is>
          <t>1772611820104_1772611828904</t>
        </is>
      </c>
      <c r="D217" s="32">
        <f>IMAGE("https://liskibruh.github.io/l4_data_sheets_table_images_mapper/l4_problematic_frames/xl/media/image279.png")</f>
        <v/>
      </c>
      <c r="E217" s="30" t="n"/>
      <c r="F217" s="30" t="n"/>
      <c r="G217" s="27" t="inlineStr">
        <is>
          <t>Missed Truck</t>
        </is>
      </c>
    </row>
    <row r="218" ht="17" customHeight="1" s="26">
      <c r="A218" s="33" t="n"/>
      <c r="B218" s="33" t="n"/>
      <c r="C218" s="33" t="n"/>
      <c r="D218" s="33" t="n"/>
      <c r="E218" s="33" t="n"/>
      <c r="F218" s="33" t="n"/>
      <c r="G218" s="33" t="n"/>
    </row>
    <row r="219" ht="41" customHeight="1" s="26">
      <c r="A219" s="30" t="n"/>
      <c r="B219" s="30" t="n"/>
      <c r="C219" s="27" t="inlineStr">
        <is>
          <t>1772611827705_1772611828804</t>
        </is>
      </c>
      <c r="D219" s="32">
        <f>IMAGE("https://liskibruh.github.io/l4_data_sheets_table_images_mapper/l4_problematic_frames/xl/media/image280.png")</f>
        <v/>
      </c>
      <c r="E219" s="30" t="n"/>
      <c r="F219" s="30" t="n"/>
      <c r="G219" s="27" t="inlineStr">
        <is>
          <t>MissClassification of Truck</t>
        </is>
      </c>
    </row>
    <row r="220" ht="17" customHeight="1" s="26">
      <c r="A220" s="33" t="n"/>
      <c r="B220" s="33" t="n"/>
      <c r="C220" s="33" t="n"/>
      <c r="D220" s="33" t="n"/>
      <c r="E220" s="33" t="n"/>
      <c r="F220" s="33" t="n"/>
      <c r="G220" s="33" t="n"/>
    </row>
    <row r="221" ht="55" customHeight="1" s="26">
      <c r="A221" s="30" t="n"/>
      <c r="B221" s="30" t="n"/>
      <c r="C221" s="27" t="inlineStr">
        <is>
          <t>177261183-0204_1772611831305</t>
        </is>
      </c>
      <c r="D221" s="32">
        <f>IMAGE("https://liskibruh.github.io/l4_data_sheets_table_images_mapper/l4_problematic_frames/xl/media/image281.png")</f>
        <v/>
      </c>
      <c r="E221" s="30" t="n"/>
      <c r="F221" s="30" t="n"/>
      <c r="G221" s="27" t="inlineStr">
        <is>
          <t>Missed Human</t>
        </is>
      </c>
    </row>
    <row r="222" ht="17" customHeight="1" s="26">
      <c r="A222" s="33" t="n"/>
      <c r="B222" s="33" t="n"/>
      <c r="C222" s="33" t="n"/>
      <c r="D222" s="33" t="n"/>
      <c r="E222" s="33" t="n"/>
      <c r="F222" s="33" t="n"/>
      <c r="G222" s="33" t="n"/>
    </row>
    <row r="223" ht="55" customHeight="1" s="26">
      <c r="A223" s="30" t="n"/>
      <c r="B223" s="30" t="n"/>
      <c r="C223" s="27" t="inlineStr">
        <is>
          <t>1772611830204_1772611831305</t>
        </is>
      </c>
      <c r="D223" s="32">
        <f>IMAGE("https://liskibruh.github.io/l4_data_sheets_table_images_mapper/l4_problematic_frames/xl/media/image281.png")</f>
        <v/>
      </c>
      <c r="E223" s="30" t="n"/>
      <c r="F223" s="30" t="n"/>
      <c r="G223" s="27" t="inlineStr">
        <is>
          <t>Miss Classification of Car Orientation</t>
        </is>
      </c>
    </row>
    <row r="224" ht="17" customHeight="1" s="26">
      <c r="A224" s="33" t="n"/>
      <c r="B224" s="33" t="n"/>
      <c r="C224" s="33" t="n"/>
      <c r="D224" s="33" t="n"/>
      <c r="E224" s="33" t="n"/>
      <c r="F224" s="33" t="n"/>
      <c r="G224" s="33" t="n"/>
    </row>
    <row r="225" ht="41" customHeight="1" s="26">
      <c r="A225" s="30" t="n"/>
      <c r="B225" s="30" t="n"/>
      <c r="C225" s="27" t="inlineStr">
        <is>
          <t>1772611831405_1772611832604</t>
        </is>
      </c>
      <c r="D225" s="32">
        <f>IMAGE("https://liskibruh.github.io/l4_data_sheets_table_images_mapper/l4_problematic_frames/xl/media/image282.png")</f>
        <v/>
      </c>
      <c r="E225" s="30" t="n"/>
      <c r="F225" s="30" t="n"/>
      <c r="G225" s="27" t="inlineStr">
        <is>
          <t>Miss Classification of Cars</t>
        </is>
      </c>
    </row>
    <row r="226" ht="17" customHeight="1" s="26">
      <c r="A226" s="33" t="n"/>
      <c r="B226" s="33" t="n"/>
      <c r="C226" s="33" t="n"/>
      <c r="D226" s="33" t="n"/>
      <c r="E226" s="33" t="n"/>
      <c r="F226" s="33" t="n"/>
      <c r="G226" s="33" t="n"/>
    </row>
    <row r="227" ht="41" customHeight="1" s="26">
      <c r="A227" s="30" t="n"/>
      <c r="B227" s="30" t="n"/>
      <c r="C227" s="27" t="inlineStr">
        <is>
          <t>1772611825305_1772611833900</t>
        </is>
      </c>
      <c r="D227" s="32">
        <f>IMAGE("https://liskibruh.github.io/l4_data_sheets_table_images_mapper/l4_problematic_frames/xl/media/image283.png")</f>
        <v/>
      </c>
      <c r="E227" s="30" t="n"/>
      <c r="F227" s="30" t="n"/>
      <c r="G227" s="27" t="inlineStr">
        <is>
          <t>Missed Humans</t>
        </is>
      </c>
    </row>
    <row r="228" ht="17" customHeight="1" s="26">
      <c r="A228" s="33" t="n"/>
      <c r="B228" s="33" t="n"/>
      <c r="C228" s="33" t="n"/>
      <c r="D228" s="33" t="n"/>
      <c r="E228" s="33" t="n"/>
      <c r="F228" s="33" t="n"/>
      <c r="G228" s="33" t="n"/>
    </row>
    <row r="229" ht="55" customHeight="1" s="26">
      <c r="A229" s="30" t="n"/>
      <c r="B229" s="30" t="n"/>
      <c r="C229" s="27" t="inlineStr">
        <is>
          <t>1772611836804_1772611838205</t>
        </is>
      </c>
      <c r="D229" s="32">
        <f>IMAGE("https://liskibruh.github.io/l4_data_sheets_table_images_mapper/l4_problematic_frames/xl/media/image284.png")</f>
        <v/>
      </c>
      <c r="E229" s="30" t="n"/>
      <c r="F229" s="30" t="n"/>
      <c r="G229" s="27" t="inlineStr">
        <is>
          <t>Miss Classification of Truck Orientation</t>
        </is>
      </c>
    </row>
    <row r="230" ht="17" customHeight="1" s="26">
      <c r="A230" s="33" t="n"/>
      <c r="B230" s="33" t="n"/>
      <c r="C230" s="33" t="n"/>
      <c r="D230" s="33" t="n"/>
      <c r="E230" s="33" t="n"/>
      <c r="F230" s="33" t="n"/>
      <c r="G230" s="33" t="n"/>
    </row>
    <row r="231" ht="41" customHeight="1" s="26">
      <c r="A231" s="30" t="n"/>
      <c r="B231" s="30" t="n"/>
      <c r="C231" s="27" t="inlineStr">
        <is>
          <t>1772611839604_1772611840604</t>
        </is>
      </c>
      <c r="D231" s="32">
        <f>IMAGE("https://liskibruh.github.io/l4_data_sheets_table_images_mapper/l4_problematic_frames/xl/media/image285.png")</f>
        <v/>
      </c>
      <c r="E231" s="30" t="n"/>
      <c r="F231" s="30" t="n"/>
      <c r="G231" s="27" t="inlineStr">
        <is>
          <t>Miss Classification of Truck</t>
        </is>
      </c>
    </row>
    <row r="232" ht="17" customHeight="1" s="26">
      <c r="A232" s="33" t="n"/>
      <c r="B232" s="33" t="n"/>
      <c r="C232" s="33" t="n"/>
      <c r="D232" s="33" t="n"/>
      <c r="E232" s="33" t="n"/>
      <c r="F232" s="33" t="n"/>
      <c r="G232" s="33" t="n"/>
    </row>
    <row r="233" ht="41" customHeight="1" s="26">
      <c r="A233" s="30" t="n"/>
      <c r="B233" s="30" t="n"/>
      <c r="C233" s="27" t="inlineStr">
        <is>
          <t>1772611840704_1772611844505</t>
        </is>
      </c>
      <c r="D233" s="32">
        <f>IMAGE("https://liskibruh.github.io/l4_data_sheets_table_images_mapper/l4_problematic_frames/xl/media/image286.png")</f>
        <v/>
      </c>
      <c r="E233" s="30" t="n"/>
      <c r="F233" s="30" t="n"/>
      <c r="G233" s="27" t="inlineStr">
        <is>
          <t>Missed Truck</t>
        </is>
      </c>
    </row>
    <row r="234" ht="17" customHeight="1" s="26">
      <c r="A234" s="33" t="n"/>
      <c r="B234" s="33" t="n"/>
      <c r="C234" s="33" t="n"/>
      <c r="D234" s="33" t="n"/>
      <c r="E234" s="33" t="n"/>
      <c r="F234" s="33" t="n"/>
      <c r="G234" s="33" t="n"/>
    </row>
    <row r="235" ht="41" customHeight="1" s="26">
      <c r="A235" s="30" t="n"/>
      <c r="B235" s="30" t="n"/>
      <c r="C235" s="27" t="inlineStr">
        <is>
          <t>1772611844605_1772611845704</t>
        </is>
      </c>
      <c r="D235" s="32">
        <f>IMAGE("https://liskibruh.github.io/l4_data_sheets_table_images_mapper/l4_problematic_frames/xl/media/image287.png")</f>
        <v/>
      </c>
      <c r="E235" s="30" t="n"/>
      <c r="F235" s="30" t="n"/>
      <c r="G235" s="27" t="inlineStr">
        <is>
          <t>Miss Classification of Truck</t>
        </is>
      </c>
    </row>
    <row r="236" ht="17" customHeight="1" s="26">
      <c r="A236" s="33" t="n"/>
      <c r="B236" s="33" t="n"/>
      <c r="C236" s="33" t="n"/>
      <c r="D236" s="33" t="n"/>
      <c r="E236" s="33" t="n"/>
      <c r="F236" s="33" t="n"/>
      <c r="G236" s="33" t="n"/>
    </row>
    <row r="237" ht="41" customHeight="1" s="26">
      <c r="A237" s="30" t="n"/>
      <c r="B237" s="30" t="n"/>
      <c r="C237" s="27" t="inlineStr">
        <is>
          <t>1772611844505_1772611846904</t>
        </is>
      </c>
      <c r="D237" s="32">
        <f>IMAGE("https://liskibruh.github.io/l4_data_sheets_table_images_mapper/l4_problematic_frames/xl/media/image288.png")</f>
        <v/>
      </c>
      <c r="E237" s="30" t="n"/>
      <c r="F237" s="30" t="n"/>
      <c r="G237" s="27" t="inlineStr">
        <is>
          <t>Missed Multiple Cars</t>
        </is>
      </c>
    </row>
    <row r="238" ht="17" customHeight="1" s="26">
      <c r="A238" s="33" t="n"/>
      <c r="B238" s="33" t="n"/>
      <c r="C238" s="33" t="n"/>
      <c r="D238" s="33" t="n"/>
      <c r="E238" s="33" t="n"/>
      <c r="F238" s="33" t="n"/>
      <c r="G238" s="33" t="n"/>
    </row>
    <row r="239" ht="41" customHeight="1" s="26">
      <c r="A239" s="30" t="n"/>
      <c r="B239" s="30" t="n"/>
      <c r="C239" s="27" t="inlineStr">
        <is>
          <t>1772611843404_17726118464904</t>
        </is>
      </c>
      <c r="D239" s="32">
        <f>IMAGE("https://liskibruh.github.io/l4_data_sheets_table_images_mapper/l4_problematic_frames/xl/media/image288.png")</f>
        <v/>
      </c>
      <c r="E239" s="30" t="n"/>
      <c r="F239" s="30" t="n"/>
      <c r="G239" s="27" t="inlineStr">
        <is>
          <t>Missed Human</t>
        </is>
      </c>
    </row>
    <row r="240" ht="17" customHeight="1" s="26">
      <c r="A240" s="33" t="n"/>
      <c r="B240" s="33" t="n"/>
      <c r="C240" s="33" t="n"/>
      <c r="D240" s="33" t="n"/>
      <c r="E240" s="33" t="n"/>
      <c r="F240" s="33" t="n"/>
      <c r="G240" s="33" t="n"/>
    </row>
    <row r="241" ht="41" customHeight="1" s="26">
      <c r="A241" s="30" t="n"/>
      <c r="B241" s="30" t="n"/>
      <c r="C241" s="27" t="inlineStr">
        <is>
          <t>1772611840704_1772611849305</t>
        </is>
      </c>
      <c r="D241" s="32">
        <f>IMAGE("https://liskibruh.github.io/l4_data_sheets_table_images_mapper/l4_problematic_frames/xl/media/image289.png")</f>
        <v/>
      </c>
      <c r="E241" s="30" t="n"/>
      <c r="F241" s="30" t="n"/>
      <c r="G241" s="27" t="inlineStr">
        <is>
          <t>Missed Truck</t>
        </is>
      </c>
    </row>
    <row r="242" ht="17" customHeight="1" s="26">
      <c r="A242" s="33" t="n"/>
      <c r="B242" s="33" t="n"/>
      <c r="C242" s="33" t="n"/>
      <c r="D242" s="33" t="n"/>
      <c r="E242" s="33" t="n"/>
      <c r="F242" s="33" t="n"/>
      <c r="G242" s="33" t="n"/>
    </row>
    <row r="243" ht="69" customHeight="1" s="26">
      <c r="A243" s="30" t="n"/>
      <c r="B243" s="30" t="n"/>
      <c r="C243" s="27" t="inlineStr">
        <is>
          <t>1772611849404_1772611849604</t>
        </is>
      </c>
      <c r="D243" s="32">
        <f>IMAGE("https://liskibruh.github.io/l4_data_sheets_table_images_mapper/l4_problematic_frames/xl/media/image290.png")</f>
        <v/>
      </c>
      <c r="E243" s="30" t="n"/>
      <c r="F243" s="30" t="n"/>
      <c r="G243" s="27" t="inlineStr">
        <is>
          <t>False Positive Truck, False Positive Car</t>
        </is>
      </c>
    </row>
    <row r="244" ht="17" customHeight="1" s="26">
      <c r="A244" s="33" t="n"/>
      <c r="B244" s="33" t="n"/>
      <c r="C244" s="33" t="n"/>
      <c r="D244" s="33" t="n"/>
      <c r="E244" s="33" t="n"/>
      <c r="F244" s="33" t="n"/>
      <c r="G244" s="33" t="n"/>
    </row>
    <row r="245" ht="41" customHeight="1" s="26">
      <c r="A245" s="30" t="n"/>
      <c r="B245" s="30" t="n"/>
      <c r="C245" s="27" t="inlineStr">
        <is>
          <t>1772611850304_1772611855405</t>
        </is>
      </c>
      <c r="D245" s="32">
        <f>IMAGE("https://liskibruh.github.io/l4_data_sheets_table_images_mapper/l4_problematic_frames/xl/media/image291.png")</f>
        <v/>
      </c>
      <c r="E245" s="30" t="n"/>
      <c r="F245" s="30" t="n"/>
      <c r="G245" s="27" t="inlineStr">
        <is>
          <t>Missed Car</t>
        </is>
      </c>
    </row>
    <row r="246" ht="17" customHeight="1" s="26">
      <c r="A246" s="33" t="n"/>
      <c r="B246" s="33" t="n"/>
      <c r="C246" s="33" t="n"/>
      <c r="D246" s="33" t="n"/>
      <c r="E246" s="33" t="n"/>
      <c r="F246" s="33" t="n"/>
      <c r="G246" s="33" t="n"/>
    </row>
    <row r="247" ht="41" customHeight="1" s="26">
      <c r="A247" s="30" t="n"/>
      <c r="B247" s="30" t="n"/>
      <c r="C247" s="27" t="inlineStr">
        <is>
          <t>1772611855004_1772611858104</t>
        </is>
      </c>
      <c r="D247" s="32">
        <f>IMAGE("https://liskibruh.github.io/l4_data_sheets_table_images_mapper/l4_problematic_frames/xl/media/image292.png")</f>
        <v/>
      </c>
      <c r="E247" s="30" t="n"/>
      <c r="F247" s="30" t="n"/>
      <c r="G247" s="27" t="inlineStr">
        <is>
          <t>Missed Truck</t>
        </is>
      </c>
    </row>
    <row r="248" ht="17" customHeight="1" s="26">
      <c r="A248" s="33" t="n"/>
      <c r="B248" s="33" t="n"/>
      <c r="C248" s="33" t="n"/>
      <c r="D248" s="33" t="n"/>
      <c r="E248" s="33" t="n"/>
      <c r="F248" s="33" t="n"/>
      <c r="G248" s="33" t="n"/>
    </row>
    <row r="249" ht="41" customHeight="1" s="26">
      <c r="A249" s="30" t="n"/>
      <c r="B249" s="30" t="n"/>
      <c r="C249" s="27" t="inlineStr">
        <is>
          <t>1772611859205_1772611860404</t>
        </is>
      </c>
      <c r="D249" s="32">
        <f>IMAGE("https://liskibruh.github.io/l4_data_sheets_table_images_mapper/l4_problematic_frames/xl/media/image293.png")</f>
        <v/>
      </c>
      <c r="E249" s="30" t="n"/>
      <c r="F249" s="30" t="n"/>
      <c r="G249" s="27" t="inlineStr">
        <is>
          <t>Missed Truck</t>
        </is>
      </c>
    </row>
    <row r="250" ht="17" customHeight="1" s="26">
      <c r="A250" s="33" t="n"/>
      <c r="B250" s="33" t="n"/>
      <c r="C250" s="33" t="n"/>
      <c r="D250" s="33" t="n"/>
      <c r="E250" s="33" t="n"/>
      <c r="F250" s="33" t="n"/>
      <c r="G250" s="33" t="n"/>
    </row>
    <row r="251" ht="41" customHeight="1" s="26">
      <c r="A251" s="30" t="n"/>
      <c r="B251" s="30" t="n"/>
      <c r="C251" s="27" t="inlineStr">
        <is>
          <t>1772611861905_1772611863005</t>
        </is>
      </c>
      <c r="D251" s="32">
        <f>IMAGE("https://liskibruh.github.io/l4_data_sheets_table_images_mapper/l4_problematic_frames/xl/media/image294.png")</f>
        <v/>
      </c>
      <c r="E251" s="30" t="n"/>
      <c r="F251" s="30" t="n"/>
      <c r="G251" s="27" t="inlineStr">
        <is>
          <t>Missed Truck</t>
        </is>
      </c>
    </row>
    <row r="252" ht="17" customHeight="1" s="26">
      <c r="A252" s="33" t="n"/>
      <c r="B252" s="33" t="n"/>
      <c r="C252" s="33" t="n"/>
      <c r="D252" s="33" t="n"/>
      <c r="E252" s="33" t="n"/>
      <c r="F252" s="33" t="n"/>
      <c r="G252" s="33" t="n"/>
    </row>
    <row r="253" ht="41" customHeight="1" s="26">
      <c r="A253" s="30" t="n"/>
      <c r="B253" s="30" t="n"/>
      <c r="C253" s="27" t="inlineStr">
        <is>
          <t>1772611859205_1772611864605</t>
        </is>
      </c>
      <c r="D253" s="32">
        <f>IMAGE("https://liskibruh.github.io/l4_data_sheets_table_images_mapper/l4_problematic_frames/xl/media/image295.png")</f>
        <v/>
      </c>
      <c r="E253" s="30" t="n"/>
      <c r="F253" s="30" t="n"/>
      <c r="G253" s="27" t="inlineStr">
        <is>
          <t>Missed Truck</t>
        </is>
      </c>
    </row>
    <row r="254" ht="17" customHeight="1" s="26">
      <c r="A254" s="33" t="n"/>
      <c r="B254" s="33" t="n"/>
      <c r="C254" s="33" t="n"/>
      <c r="D254" s="33" t="n"/>
      <c r="E254" s="33" t="n"/>
      <c r="F254" s="33" t="n"/>
      <c r="G254" s="33" t="n"/>
    </row>
    <row r="255" ht="41" customHeight="1" s="26">
      <c r="A255" s="30" t="n"/>
      <c r="B255" s="30" t="n"/>
      <c r="C255" s="27" t="inlineStr">
        <is>
          <t>1772611872004_1772611872505</t>
        </is>
      </c>
      <c r="D255" s="32">
        <f>IMAGE("https://liskibruh.github.io/l4_data_sheets_table_images_mapper/l4_problematic_frames/xl/media/image296.png")</f>
        <v/>
      </c>
      <c r="E255" s="30" t="n"/>
      <c r="F255" s="30" t="n"/>
      <c r="G255" s="27" t="inlineStr">
        <is>
          <t>False Positive Truck</t>
        </is>
      </c>
    </row>
    <row r="256" ht="17" customHeight="1" s="26">
      <c r="A256" s="33" t="n"/>
      <c r="B256" s="33" t="n"/>
      <c r="C256" s="33" t="n"/>
      <c r="D256" s="33" t="n"/>
      <c r="E256" s="33" t="n"/>
      <c r="F256" s="33" t="n"/>
      <c r="G256" s="33" t="n"/>
    </row>
    <row r="257" ht="41" customHeight="1" s="26">
      <c r="A257" s="30" t="n"/>
      <c r="B257" s="30" t="n"/>
      <c r="C257" s="27" t="inlineStr">
        <is>
          <t>177261192804_1772611993705</t>
        </is>
      </c>
      <c r="D257" s="32">
        <f>IMAGE("https://liskibruh.github.io/l4_data_sheets_table_images_mapper/l4_problematic_frames/xl/media/image297.png")</f>
        <v/>
      </c>
      <c r="E257" s="30" t="n"/>
      <c r="F257" s="30" t="n"/>
      <c r="G257" s="27" t="inlineStr">
        <is>
          <t>False Positive Truck</t>
        </is>
      </c>
    </row>
    <row r="258" ht="17" customHeight="1" s="26">
      <c r="A258" s="33" t="n"/>
      <c r="B258" s="33" t="n"/>
      <c r="C258" s="33" t="n"/>
      <c r="D258" s="33" t="n"/>
      <c r="E258" s="33" t="n"/>
      <c r="F258" s="33" t="n"/>
      <c r="G258" s="33" t="n"/>
    </row>
    <row r="259" ht="41" customHeight="1" s="26">
      <c r="A259" s="30" t="n"/>
      <c r="B259" s="30" t="n"/>
      <c r="C259" s="27" t="inlineStr">
        <is>
          <t>1772612006705_1772612011405</t>
        </is>
      </c>
      <c r="D259" s="32">
        <f>IMAGE("https://liskibruh.github.io/l4_data_sheets_table_images_mapper/l4_problematic_frames/xl/media/image298.png")</f>
        <v/>
      </c>
      <c r="E259" s="30" t="n"/>
      <c r="F259" s="30" t="n"/>
      <c r="G259" s="27" t="inlineStr">
        <is>
          <t>Missed Static Object</t>
        </is>
      </c>
    </row>
    <row r="260" ht="17" customHeight="1" s="26">
      <c r="A260" s="33" t="n"/>
      <c r="B260" s="33" t="n"/>
      <c r="C260" s="33" t="n"/>
      <c r="D260" s="33" t="n"/>
      <c r="E260" s="33" t="n"/>
      <c r="F260" s="33" t="n"/>
      <c r="G260" s="33" t="n"/>
    </row>
    <row r="261" ht="41" customHeight="1" s="26">
      <c r="A261" s="30" t="n"/>
      <c r="B261" s="30" t="n"/>
      <c r="C261" s="27" t="inlineStr">
        <is>
          <t>1772612044405_1772612045804</t>
        </is>
      </c>
      <c r="D261" s="32">
        <f>IMAGE("https://liskibruh.github.io/l4_data_sheets_table_images_mapper/l4_problematic_frames/xl/media/image299.png")</f>
        <v/>
      </c>
      <c r="E261" s="30" t="n"/>
      <c r="F261" s="30" t="n"/>
      <c r="G261" s="27" t="inlineStr">
        <is>
          <t>Miss Classification Static Object</t>
        </is>
      </c>
    </row>
    <row r="262" ht="17" customHeight="1" s="26">
      <c r="A262" s="33" t="n"/>
      <c r="B262" s="33" t="n"/>
      <c r="C262" s="33" t="n"/>
      <c r="D262" s="33" t="n"/>
      <c r="E262" s="33" t="n"/>
      <c r="F262" s="33" t="n"/>
      <c r="G262" s="33" t="n"/>
    </row>
    <row r="263" ht="41" customHeight="1" s="26">
      <c r="A263" s="30" t="n"/>
      <c r="B263" s="30" t="n"/>
      <c r="C263" s="27" t="inlineStr">
        <is>
          <t>1772612044405_1772612045804</t>
        </is>
      </c>
      <c r="D263" s="32">
        <f>IMAGE("https://liskibruh.github.io/l4_data_sheets_table_images_mapper/l4_problematic_frames/xl/media/image299.png")</f>
        <v/>
      </c>
      <c r="E263" s="30" t="n"/>
      <c r="F263" s="30" t="n"/>
      <c r="G263" s="27" t="inlineStr">
        <is>
          <t>Missed Truck</t>
        </is>
      </c>
    </row>
    <row r="264" ht="17" customHeight="1" s="26">
      <c r="A264" s="33" t="n"/>
      <c r="B264" s="33" t="n"/>
      <c r="C264" s="33" t="n"/>
      <c r="D264" s="33" t="n"/>
      <c r="E264" s="33" t="n"/>
      <c r="F264" s="33" t="n"/>
      <c r="G264" s="33" t="n"/>
    </row>
    <row r="265" ht="41" customHeight="1" s="26">
      <c r="A265" s="30" t="n"/>
      <c r="B265" s="30" t="n"/>
      <c r="C265" s="27" t="inlineStr">
        <is>
          <t>1722612079105_1772612080204</t>
        </is>
      </c>
      <c r="D265" s="32">
        <f>IMAGE("https://liskibruh.github.io/l4_data_sheets_table_images_mapper/l4_problematic_frames/xl/media/image300.png")</f>
        <v/>
      </c>
      <c r="E265" s="30" t="n"/>
      <c r="F265" s="30" t="n"/>
      <c r="G265" s="27" t="inlineStr">
        <is>
          <t>Miss Classification of Cars Direction</t>
        </is>
      </c>
    </row>
    <row r="266" ht="17" customHeight="1" s="26">
      <c r="A266" s="33" t="n"/>
      <c r="B266" s="33" t="n"/>
      <c r="C266" s="33" t="n"/>
      <c r="D266" s="33" t="n"/>
      <c r="E266" s="33" t="n"/>
      <c r="F266" s="33" t="n"/>
      <c r="G266" s="33" t="n"/>
    </row>
    <row r="267" ht="41" customHeight="1" s="26">
      <c r="A267" s="30" t="n"/>
      <c r="B267" s="30" t="n"/>
      <c r="C267" s="27" t="inlineStr">
        <is>
          <t>1772612087504_1772612094704</t>
        </is>
      </c>
      <c r="D267" s="32">
        <f>IMAGE("https://liskibruh.github.io/l4_data_sheets_table_images_mapper/l4_problematic_frames/xl/media/image301.png")</f>
        <v/>
      </c>
      <c r="E267" s="30" t="n"/>
      <c r="F267" s="30" t="n"/>
      <c r="G267" s="27" t="inlineStr">
        <is>
          <t>Missed Truck</t>
        </is>
      </c>
    </row>
    <row r="268" ht="17" customHeight="1" s="26">
      <c r="A268" s="33" t="n"/>
      <c r="B268" s="33" t="n"/>
      <c r="C268" s="33" t="n"/>
      <c r="D268" s="33" t="n"/>
      <c r="E268" s="33" t="n"/>
      <c r="F268" s="33" t="n"/>
      <c r="G268" s="33" t="n"/>
    </row>
    <row r="269" ht="41" customHeight="1" s="26">
      <c r="A269" s="30" t="n"/>
      <c r="B269" s="30" t="n"/>
      <c r="C269" s="27" t="inlineStr">
        <is>
          <t>1772612169605_1772612173004</t>
        </is>
      </c>
      <c r="D269" s="32">
        <f>IMAGE("https://liskibruh.github.io/l4_data_sheets_table_images_mapper/l4_problematic_frames/xl/media/image302.png")</f>
        <v/>
      </c>
      <c r="E269" s="30" t="n"/>
      <c r="F269" s="30" t="n"/>
      <c r="G269" s="27" t="inlineStr">
        <is>
          <t>Missed Static Objects</t>
        </is>
      </c>
    </row>
    <row r="270" ht="17" customHeight="1" s="26">
      <c r="A270" s="33" t="n"/>
      <c r="B270" s="33" t="n"/>
      <c r="C270" s="33" t="n"/>
      <c r="D270" s="33" t="n"/>
      <c r="E270" s="33" t="n"/>
      <c r="F270" s="33" t="n"/>
      <c r="G270" s="33" t="n"/>
    </row>
    <row r="271" ht="41" customHeight="1" s="26">
      <c r="A271" s="30" t="n"/>
      <c r="B271" s="30" t="n"/>
      <c r="C271" s="27" t="inlineStr">
        <is>
          <t>1772612173104_1772612174305</t>
        </is>
      </c>
      <c r="D271" s="32">
        <f>IMAGE("https://liskibruh.github.io/l4_data_sheets_table_images_mapper/l4_problematic_frames/xl/media/image303.png")</f>
        <v/>
      </c>
      <c r="E271" s="30" t="n"/>
      <c r="F271" s="30" t="n"/>
      <c r="G271" s="27" t="inlineStr">
        <is>
          <t>Miss Classification of Static Object</t>
        </is>
      </c>
    </row>
    <row r="272" ht="17" customHeight="1" s="26">
      <c r="A272" s="33" t="n"/>
      <c r="B272" s="33" t="n"/>
      <c r="C272" s="33" t="n"/>
      <c r="D272" s="33" t="n"/>
      <c r="E272" s="33" t="n"/>
      <c r="F272" s="33" t="n"/>
      <c r="G272" s="33" t="n"/>
    </row>
    <row r="273" ht="72" customHeight="1" s="26">
      <c r="A273" s="30" t="n"/>
      <c r="B273" s="30" t="n"/>
      <c r="C273" s="27" t="inlineStr">
        <is>
          <t>1772612174305_1772612181604</t>
        </is>
      </c>
      <c r="D273" s="32">
        <f>IMAGE("https://liskibruh.github.io/l4_data_sheets_table_images_mapper/l4_problematic_frames/xl/media/image303.png")</f>
        <v/>
      </c>
      <c r="E273" s="30" t="n"/>
      <c r="F273" s="30" t="n"/>
      <c r="G273" s="4" t="inlineStr">
        <is>
          <t>Multiple Issues: Missing Static Object,</t>
        </is>
      </c>
    </row>
    <row r="274" ht="87" customHeight="1" s="26">
      <c r="A274" s="33" t="n"/>
      <c r="B274" s="33" t="n"/>
      <c r="C274" s="33" t="n"/>
      <c r="D274" s="33" t="n"/>
      <c r="E274" s="33" t="n"/>
      <c r="F274" s="33" t="n"/>
      <c r="G274" s="7" t="inlineStr">
        <is>
          <t>False Positives, Wrong Orientation of Static object</t>
        </is>
      </c>
    </row>
    <row r="275" ht="41" customHeight="1" s="26">
      <c r="A275" s="30" t="n"/>
      <c r="B275" s="30" t="n"/>
      <c r="C275" s="27" t="inlineStr">
        <is>
          <t>1772612186304_1772612187305</t>
        </is>
      </c>
      <c r="D275" s="32">
        <f>IMAGE("https://liskibruh.github.io/l4_data_sheets_table_images_mapper/l4_problematic_frames/xl/media/image304.png")</f>
        <v/>
      </c>
      <c r="E275" s="30" t="n"/>
      <c r="F275" s="30" t="n"/>
      <c r="G275" s="27" t="inlineStr">
        <is>
          <t>Missing Car</t>
        </is>
      </c>
    </row>
    <row r="276" ht="17" customHeight="1" s="26">
      <c r="A276" s="33" t="n"/>
      <c r="B276" s="33" t="n"/>
      <c r="C276" s="33" t="n"/>
      <c r="D276" s="33" t="n"/>
      <c r="E276" s="33" t="n"/>
      <c r="F276" s="33" t="n"/>
      <c r="G276" s="33" t="n"/>
    </row>
    <row r="277" ht="29" customHeight="1" s="26">
      <c r="A277" s="30" t="n"/>
      <c r="B277" s="30" t="n"/>
      <c r="C277" s="27" t="inlineStr">
        <is>
          <t>1772612201604_1772612202704</t>
        </is>
      </c>
      <c r="D277" s="32">
        <f>IMAGE("https://liskibruh.github.io/l4_data_sheets_table_images_mapper/l4_problematic_frames/xl/media/image305.png")</f>
        <v/>
      </c>
      <c r="E277" s="30" t="n"/>
      <c r="F277" s="30" t="n"/>
      <c r="G277" s="4" t="inlineStr">
        <is>
          <t>Missing Truck,</t>
        </is>
      </c>
    </row>
    <row r="278" ht="44" customHeight="1" s="26">
      <c r="A278" s="33" t="n"/>
      <c r="B278" s="33" t="n"/>
      <c r="C278" s="33" t="n"/>
      <c r="D278" s="33" t="n"/>
      <c r="E278" s="33" t="n"/>
      <c r="F278" s="33" t="n"/>
      <c r="G278" s="7" t="inlineStr">
        <is>
          <t>Missing Static Object</t>
        </is>
      </c>
    </row>
    <row r="279" ht="41" customHeight="1" s="26">
      <c r="A279" s="30" t="n"/>
      <c r="B279" s="30" t="n"/>
      <c r="C279" s="27" t="inlineStr">
        <is>
          <t>1772612205204_1772612206104</t>
        </is>
      </c>
      <c r="D279" s="32">
        <f>IMAGE("https://liskibruh.github.io/l4_data_sheets_table_images_mapper/l4_problematic_frames/xl/media/image306.png")</f>
        <v/>
      </c>
      <c r="E279" s="30" t="n"/>
      <c r="F279" s="30" t="n"/>
      <c r="G279" s="27" t="inlineStr">
        <is>
          <t>False Positive Truck</t>
        </is>
      </c>
    </row>
    <row r="280" ht="17" customHeight="1" s="26">
      <c r="A280" s="33" t="n"/>
      <c r="B280" s="33" t="n"/>
      <c r="C280" s="33" t="n"/>
      <c r="D280" s="33" t="n"/>
      <c r="E280" s="33" t="n"/>
      <c r="F280" s="33" t="n"/>
      <c r="G280" s="33" t="n"/>
    </row>
    <row r="281" ht="41" customHeight="1" s="26">
      <c r="A281" s="30" t="n"/>
      <c r="B281" s="30" t="n"/>
      <c r="C281" s="27" t="inlineStr">
        <is>
          <t>1772612205204_1772612206104</t>
        </is>
      </c>
      <c r="D281" s="32">
        <f>IMAGE("https://liskibruh.github.io/l4_data_sheets_table_images_mapper/l4_problematic_frames/xl/media/image306.png")</f>
        <v/>
      </c>
      <c r="E281" s="30" t="n"/>
      <c r="F281" s="30" t="n"/>
      <c r="G281" s="27" t="inlineStr">
        <is>
          <t>Missing Car</t>
        </is>
      </c>
    </row>
    <row r="282" ht="17" customHeight="1" s="26">
      <c r="A282" s="33" t="n"/>
      <c r="B282" s="33" t="n"/>
      <c r="C282" s="33" t="n"/>
      <c r="D282" s="33" t="n"/>
      <c r="E282" s="33" t="n"/>
      <c r="F282" s="33" t="n"/>
      <c r="G282" s="33" t="n"/>
    </row>
    <row r="283" ht="43" customHeight="1" s="26">
      <c r="A283" s="30" t="n"/>
      <c r="B283" s="30" t="n"/>
      <c r="C283" s="27" t="inlineStr">
        <is>
          <t>1772612207305_1772612208205</t>
        </is>
      </c>
      <c r="D283" s="32">
        <f>IMAGE("https://liskibruh.github.io/l4_data_sheets_table_images_mapper/l4_problematic_frames/xl/media/image307.png")</f>
        <v/>
      </c>
      <c r="E283" s="30" t="n"/>
      <c r="F283" s="30" t="n"/>
      <c r="G283" s="4" t="inlineStr">
        <is>
          <t>Miss Classification Car,</t>
        </is>
      </c>
    </row>
    <row r="284" ht="30" customHeight="1" s="26">
      <c r="A284" s="33" t="n"/>
      <c r="B284" s="33" t="n"/>
      <c r="C284" s="33" t="n"/>
      <c r="D284" s="33" t="n"/>
      <c r="E284" s="33" t="n"/>
      <c r="F284" s="33" t="n"/>
      <c r="G284" s="7" t="inlineStr">
        <is>
          <t>Missing Truck</t>
        </is>
      </c>
    </row>
    <row r="285" ht="29" customHeight="1" s="26">
      <c r="A285" s="30" t="n"/>
      <c r="B285" s="30" t="n"/>
      <c r="C285" s="27" t="n">
        <v>1772612211504</v>
      </c>
      <c r="D285" s="32">
        <f>IMAGE("https://liskibruh.github.io/l4_data_sheets_table_images_mapper/l4_problematic_frames/xl/media/image308.png")</f>
        <v/>
      </c>
      <c r="E285" s="30" t="n"/>
      <c r="F285" s="30" t="n"/>
      <c r="G285" s="4" t="inlineStr">
        <is>
          <t>Missing Truck,</t>
        </is>
      </c>
    </row>
    <row r="286" ht="44" customHeight="1" s="26">
      <c r="A286" s="33" t="n"/>
      <c r="B286" s="33" t="n"/>
      <c r="C286" s="33" t="n"/>
      <c r="D286" s="33" t="n"/>
      <c r="E286" s="33" t="n"/>
      <c r="F286" s="33" t="n"/>
      <c r="G286" s="7" t="inlineStr">
        <is>
          <t>Missing Static Object</t>
        </is>
      </c>
    </row>
    <row r="287" ht="41" customHeight="1" s="26">
      <c r="A287" s="30" t="n"/>
      <c r="B287" s="30" t="n"/>
      <c r="C287" s="27" t="inlineStr">
        <is>
          <t>1772612212704_1772612213705</t>
        </is>
      </c>
      <c r="D287" s="32">
        <f>IMAGE("https://liskibruh.github.io/l4_data_sheets_table_images_mapper/l4_problematic_frames/xl/media/image309.png")</f>
        <v/>
      </c>
      <c r="E287" s="30" t="n"/>
      <c r="F287" s="30" t="n"/>
      <c r="G287" s="27" t="inlineStr">
        <is>
          <t>Missing Car</t>
        </is>
      </c>
    </row>
    <row r="288" ht="17" customHeight="1" s="26">
      <c r="A288" s="33" t="n"/>
      <c r="B288" s="33" t="n"/>
      <c r="C288" s="33" t="n"/>
      <c r="D288" s="33" t="n"/>
      <c r="E288" s="33" t="n"/>
      <c r="F288" s="33" t="n"/>
      <c r="G288" s="33" t="n"/>
    </row>
    <row r="289" ht="55" customHeight="1" s="26">
      <c r="A289" s="30" t="n"/>
      <c r="B289" s="30" t="n"/>
      <c r="C289" s="27" t="inlineStr">
        <is>
          <t>1772612215904_1772612216905</t>
        </is>
      </c>
      <c r="D289" s="32">
        <f>IMAGE("https://liskibruh.github.io/l4_data_sheets_table_images_mapper/l4_problematic_frames/xl/media/image310.png")</f>
        <v/>
      </c>
      <c r="E289" s="30" t="n"/>
      <c r="F289" s="30" t="n"/>
      <c r="G289" s="27" t="inlineStr">
        <is>
          <t>Miss Classification Car Orientation</t>
        </is>
      </c>
    </row>
    <row r="290" ht="17" customHeight="1" s="26">
      <c r="A290" s="33" t="n"/>
      <c r="B290" s="33" t="n"/>
      <c r="C290" s="33" t="n"/>
      <c r="D290" s="33" t="n"/>
      <c r="E290" s="33" t="n"/>
      <c r="F290" s="33" t="n"/>
      <c r="G290" s="33" t="n"/>
    </row>
    <row r="291" ht="55" customHeight="1" s="26">
      <c r="A291" s="30" t="n"/>
      <c r="B291" s="30" t="n"/>
      <c r="C291" s="27" t="inlineStr">
        <is>
          <t>1772612226905_1772612227805</t>
        </is>
      </c>
      <c r="D291" s="32">
        <f>IMAGE("https://liskibruh.github.io/l4_data_sheets_table_images_mapper/l4_problematic_frames/xl/media/image311.png")</f>
        <v/>
      </c>
      <c r="E291" s="30" t="n"/>
      <c r="F291" s="30" t="n"/>
      <c r="G291" s="27" t="inlineStr">
        <is>
          <t>Miss Classification Car Orientation</t>
        </is>
      </c>
    </row>
    <row r="292" ht="17" customHeight="1" s="26">
      <c r="A292" s="33" t="n"/>
      <c r="B292" s="33" t="n"/>
      <c r="C292" s="33" t="n"/>
      <c r="D292" s="33" t="n"/>
      <c r="E292" s="33" t="n"/>
      <c r="F292" s="33" t="n"/>
      <c r="G292" s="33" t="n"/>
    </row>
    <row r="293" ht="55" customHeight="1" s="26">
      <c r="A293" s="30" t="n"/>
      <c r="B293" s="30" t="n"/>
      <c r="C293" s="27" t="inlineStr">
        <is>
          <t>1772612262904_1772612263804</t>
        </is>
      </c>
      <c r="D293" s="32">
        <f>IMAGE("https://liskibruh.github.io/l4_data_sheets_table_images_mapper/l4_problematic_frames/xl/media/image312.png")</f>
        <v/>
      </c>
      <c r="E293" s="30" t="n"/>
      <c r="F293" s="30" t="n"/>
      <c r="G293" s="27" t="inlineStr">
        <is>
          <t>Miss Clasisification Car Orientation</t>
        </is>
      </c>
    </row>
    <row r="294" ht="17" customHeight="1" s="26">
      <c r="A294" s="33" t="n"/>
      <c r="B294" s="33" t="n"/>
      <c r="C294" s="33" t="n"/>
      <c r="D294" s="33" t="n"/>
      <c r="E294" s="33" t="n"/>
      <c r="F294" s="33" t="n"/>
      <c r="G294" s="33" t="n"/>
    </row>
    <row r="295" ht="41" customHeight="1" s="26">
      <c r="A295" s="1" t="n"/>
      <c r="B295" s="1" t="n"/>
      <c r="C295" s="4" t="inlineStr">
        <is>
          <t>1772612264905_1772612265804</t>
        </is>
      </c>
      <c r="D295" s="3">
        <f>IMAGE("https://liskibruh.github.io/l4_data_sheets_table_images_mapper/l4_problematic_frames/xl/media/image313.png")</f>
        <v/>
      </c>
      <c r="E295" s="1" t="n"/>
      <c r="F295" s="1" t="n"/>
      <c r="G295" s="4" t="inlineStr">
        <is>
          <t>Missed Car</t>
        </is>
      </c>
    </row>
  </sheetData>
  <mergeCells count="873">
    <mergeCell ref="F133:F134"/>
    <mergeCell ref="E235:E236"/>
    <mergeCell ref="B165:B166"/>
    <mergeCell ref="B263:B264"/>
    <mergeCell ref="G82:G83"/>
    <mergeCell ref="F173:F174"/>
    <mergeCell ref="E155:E156"/>
    <mergeCell ref="B229:B230"/>
    <mergeCell ref="B29:B30"/>
    <mergeCell ref="D229:D230"/>
    <mergeCell ref="B23:B24"/>
    <mergeCell ref="D117:D121"/>
    <mergeCell ref="E157:E158"/>
    <mergeCell ref="F117:F121"/>
    <mergeCell ref="A99:A100"/>
    <mergeCell ref="D283:D284"/>
    <mergeCell ref="A213:A214"/>
    <mergeCell ref="B6:B7"/>
    <mergeCell ref="A151:A152"/>
    <mergeCell ref="C213:C214"/>
    <mergeCell ref="B37:B38"/>
    <mergeCell ref="A163:A164"/>
    <mergeCell ref="F122:F123"/>
    <mergeCell ref="G221:G222"/>
    <mergeCell ref="F249:F250"/>
    <mergeCell ref="D285:D286"/>
    <mergeCell ref="E179:E180"/>
    <mergeCell ref="G231:G232"/>
    <mergeCell ref="A203:A204"/>
    <mergeCell ref="C27:C28"/>
    <mergeCell ref="D235:D236"/>
    <mergeCell ref="F57:F58"/>
    <mergeCell ref="E25:E26"/>
    <mergeCell ref="F293:F294"/>
    <mergeCell ref="E183:E184"/>
    <mergeCell ref="E12:E13"/>
    <mergeCell ref="G183:G184"/>
    <mergeCell ref="G12:G13"/>
    <mergeCell ref="B209:B210"/>
    <mergeCell ref="E93:E94"/>
    <mergeCell ref="B159:B160"/>
    <mergeCell ref="B97:B98"/>
    <mergeCell ref="B153:B154"/>
    <mergeCell ref="G149:G150"/>
    <mergeCell ref="C185:C186"/>
    <mergeCell ref="D153:D154"/>
    <mergeCell ref="G247:G248"/>
    <mergeCell ref="E247:E248"/>
    <mergeCell ref="G185:G186"/>
    <mergeCell ref="E185:E186"/>
    <mergeCell ref="F267:F268"/>
    <mergeCell ref="E122:E123"/>
    <mergeCell ref="G151:G152"/>
    <mergeCell ref="E249:E250"/>
    <mergeCell ref="D217:D218"/>
    <mergeCell ref="A287:A288"/>
    <mergeCell ref="B253:B254"/>
    <mergeCell ref="G249:G250"/>
    <mergeCell ref="A281:A282"/>
    <mergeCell ref="F277:F278"/>
    <mergeCell ref="G243:G244"/>
    <mergeCell ref="C281:C282"/>
    <mergeCell ref="A14:A16"/>
    <mergeCell ref="F217:F218"/>
    <mergeCell ref="C45:C46"/>
    <mergeCell ref="D141:D142"/>
    <mergeCell ref="C109:C110"/>
    <mergeCell ref="C47:C48"/>
    <mergeCell ref="A145:A146"/>
    <mergeCell ref="F141:F142"/>
    <mergeCell ref="A139:A140"/>
    <mergeCell ref="C201:C202"/>
    <mergeCell ref="C139:C140"/>
    <mergeCell ref="E201:E202"/>
    <mergeCell ref="A89:A90"/>
    <mergeCell ref="D12:D13"/>
    <mergeCell ref="B143:B144"/>
    <mergeCell ref="D143:D144"/>
    <mergeCell ref="A147:A148"/>
    <mergeCell ref="F199:F200"/>
    <mergeCell ref="C203:C204"/>
    <mergeCell ref="E27:E28"/>
    <mergeCell ref="C51:C52"/>
    <mergeCell ref="F149:F150"/>
    <mergeCell ref="C153:C154"/>
    <mergeCell ref="D37:D38"/>
    <mergeCell ref="C267:C268"/>
    <mergeCell ref="E91:E92"/>
    <mergeCell ref="E267:E268"/>
    <mergeCell ref="B95:B96"/>
    <mergeCell ref="G91:G92"/>
    <mergeCell ref="G25:G26"/>
    <mergeCell ref="B45:B46"/>
    <mergeCell ref="B281:B282"/>
    <mergeCell ref="A171:A172"/>
    <mergeCell ref="G155:G156"/>
    <mergeCell ref="F257:F258"/>
    <mergeCell ref="D159:D160"/>
    <mergeCell ref="B135:B138"/>
    <mergeCell ref="A173:A174"/>
    <mergeCell ref="A229:A230"/>
    <mergeCell ref="C229:C230"/>
    <mergeCell ref="G237:G238"/>
    <mergeCell ref="F265:F266"/>
    <mergeCell ref="G126:G127"/>
    <mergeCell ref="D80:D81"/>
    <mergeCell ref="A41:A42"/>
    <mergeCell ref="A6:A7"/>
    <mergeCell ref="C277:C278"/>
    <mergeCell ref="B167:B168"/>
    <mergeCell ref="C84:C85"/>
    <mergeCell ref="B161:B162"/>
    <mergeCell ref="G157:G158"/>
    <mergeCell ref="E84:E85"/>
    <mergeCell ref="G17:G22"/>
    <mergeCell ref="B259:B260"/>
    <mergeCell ref="B192:B194"/>
    <mergeCell ref="E99:E100"/>
    <mergeCell ref="C257:C258"/>
    <mergeCell ref="B225:B226"/>
    <mergeCell ref="E257:E258"/>
    <mergeCell ref="D225:D226"/>
    <mergeCell ref="F33:F36"/>
    <mergeCell ref="G80:G81"/>
    <mergeCell ref="B279:B280"/>
    <mergeCell ref="G86:G88"/>
    <mergeCell ref="D227:D228"/>
    <mergeCell ref="A209:A210"/>
    <mergeCell ref="C209:C210"/>
    <mergeCell ref="B269:B270"/>
    <mergeCell ref="A159:A160"/>
    <mergeCell ref="D93:D94"/>
    <mergeCell ref="A97:A98"/>
    <mergeCell ref="F59:F72"/>
    <mergeCell ref="F49:F50"/>
    <mergeCell ref="D207:D208"/>
    <mergeCell ref="A211:A212"/>
    <mergeCell ref="F207:F208"/>
    <mergeCell ref="D157:D158"/>
    <mergeCell ref="A161:A162"/>
    <mergeCell ref="F157:F158"/>
    <mergeCell ref="C283:C284"/>
    <mergeCell ref="C217:C218"/>
    <mergeCell ref="A192:A194"/>
    <mergeCell ref="C161:C162"/>
    <mergeCell ref="E217:E218"/>
    <mergeCell ref="F151:F152"/>
    <mergeCell ref="F271:F272"/>
    <mergeCell ref="C275:C276"/>
    <mergeCell ref="E269:E270"/>
    <mergeCell ref="C285:C286"/>
    <mergeCell ref="E43:E44"/>
    <mergeCell ref="C141:C142"/>
    <mergeCell ref="E285:E286"/>
    <mergeCell ref="B109:B110"/>
    <mergeCell ref="E141:E142"/>
    <mergeCell ref="D109:D110"/>
    <mergeCell ref="G105:G106"/>
    <mergeCell ref="F80:F81"/>
    <mergeCell ref="B47:B48"/>
    <mergeCell ref="G43:G44"/>
    <mergeCell ref="E107:E108"/>
    <mergeCell ref="E111:E116"/>
    <mergeCell ref="D192:D194"/>
    <mergeCell ref="C143:C144"/>
    <mergeCell ref="G111:G116"/>
    <mergeCell ref="E143:E144"/>
    <mergeCell ref="A237:A238"/>
    <mergeCell ref="G199:G200"/>
    <mergeCell ref="G147:G148"/>
    <mergeCell ref="G245:G246"/>
    <mergeCell ref="C207:C208"/>
    <mergeCell ref="B175:B176"/>
    <mergeCell ref="G171:G172"/>
    <mergeCell ref="D175:D176"/>
    <mergeCell ref="D4:D5"/>
    <mergeCell ref="A179:A180"/>
    <mergeCell ref="B267:B268"/>
    <mergeCell ref="G263:G264"/>
    <mergeCell ref="A239:A240"/>
    <mergeCell ref="A95:A96"/>
    <mergeCell ref="D91:D92"/>
    <mergeCell ref="A33:A36"/>
    <mergeCell ref="B177:B178"/>
    <mergeCell ref="G29:G30"/>
    <mergeCell ref="G265:G266"/>
    <mergeCell ref="E130:E132"/>
    <mergeCell ref="C159:C160"/>
    <mergeCell ref="G130:G132"/>
    <mergeCell ref="A135:A138"/>
    <mergeCell ref="A109:A110"/>
    <mergeCell ref="A47:A48"/>
    <mergeCell ref="F195:F196"/>
    <mergeCell ref="D1:F1"/>
    <mergeCell ref="B251:B252"/>
    <mergeCell ref="D251:D252"/>
    <mergeCell ref="F197:F198"/>
    <mergeCell ref="B237:B238"/>
    <mergeCell ref="F147:F148"/>
    <mergeCell ref="B41:B42"/>
    <mergeCell ref="G31:G32"/>
    <mergeCell ref="D84:D85"/>
    <mergeCell ref="G145:G146"/>
    <mergeCell ref="F84:F85"/>
    <mergeCell ref="E39:E40"/>
    <mergeCell ref="B43:B44"/>
    <mergeCell ref="D99:D100"/>
    <mergeCell ref="A169:A170"/>
    <mergeCell ref="A225:A226"/>
    <mergeCell ref="F221:F222"/>
    <mergeCell ref="D130:D132"/>
    <mergeCell ref="D257:D258"/>
    <mergeCell ref="C225:C226"/>
    <mergeCell ref="F99:F100"/>
    <mergeCell ref="A283:A284"/>
    <mergeCell ref="B101:B102"/>
    <mergeCell ref="D163:D164"/>
    <mergeCell ref="G97:G98"/>
    <mergeCell ref="A233:A234"/>
    <mergeCell ref="F163:F164"/>
    <mergeCell ref="D101:D102"/>
    <mergeCell ref="A227:A228"/>
    <mergeCell ref="F223:F224"/>
    <mergeCell ref="F101:F102"/>
    <mergeCell ref="C227:C228"/>
    <mergeCell ref="A27:A28"/>
    <mergeCell ref="C93:C94"/>
    <mergeCell ref="F287:F288"/>
    <mergeCell ref="A91:A92"/>
    <mergeCell ref="C291:C292"/>
    <mergeCell ref="E49:E50"/>
    <mergeCell ref="E291:E292"/>
    <mergeCell ref="G49:G50"/>
    <mergeCell ref="E207:E208"/>
    <mergeCell ref="B211:B212"/>
    <mergeCell ref="G207:G208"/>
    <mergeCell ref="F31:F32"/>
    <mergeCell ref="C57:C58"/>
    <mergeCell ref="A293:A294"/>
    <mergeCell ref="C293:C294"/>
    <mergeCell ref="B183:B184"/>
    <mergeCell ref="C149:C150"/>
    <mergeCell ref="E271:E272"/>
    <mergeCell ref="D177:D178"/>
    <mergeCell ref="B275:B276"/>
    <mergeCell ref="G271:G272"/>
    <mergeCell ref="E73:E79"/>
    <mergeCell ref="G215:G216"/>
    <mergeCell ref="B185:B186"/>
    <mergeCell ref="A53:A54"/>
    <mergeCell ref="E273:E274"/>
    <mergeCell ref="D241:D242"/>
    <mergeCell ref="B277:B278"/>
    <mergeCell ref="F241:F242"/>
    <mergeCell ref="A167:A168"/>
    <mergeCell ref="B227:B228"/>
    <mergeCell ref="C192:C194"/>
    <mergeCell ref="F111:F116"/>
    <mergeCell ref="D243:D244"/>
    <mergeCell ref="F130:F132"/>
    <mergeCell ref="D49:D50"/>
    <mergeCell ref="C175:C176"/>
    <mergeCell ref="C4:C5"/>
    <mergeCell ref="E175:E176"/>
    <mergeCell ref="E4:E5"/>
    <mergeCell ref="G39:G40"/>
    <mergeCell ref="A177:A178"/>
    <mergeCell ref="F2:F3"/>
    <mergeCell ref="C177:C178"/>
    <mergeCell ref="D267:D268"/>
    <mergeCell ref="E177:E178"/>
    <mergeCell ref="E128:E129"/>
    <mergeCell ref="G128:G129"/>
    <mergeCell ref="E103:E104"/>
    <mergeCell ref="G103:G104"/>
    <mergeCell ref="G205:G206"/>
    <mergeCell ref="G195:G196"/>
    <mergeCell ref="A37:A38"/>
    <mergeCell ref="D269:D270"/>
    <mergeCell ref="B59:B72"/>
    <mergeCell ref="A195:A196"/>
    <mergeCell ref="D59:D72"/>
    <mergeCell ref="G167:G168"/>
    <mergeCell ref="E197:E198"/>
    <mergeCell ref="G259:G260"/>
    <mergeCell ref="A235:A236"/>
    <mergeCell ref="F231:F232"/>
    <mergeCell ref="G197:G198"/>
    <mergeCell ref="F17:F22"/>
    <mergeCell ref="A259:A260"/>
    <mergeCell ref="A253:A254"/>
    <mergeCell ref="C253:C254"/>
    <mergeCell ref="C82:C83"/>
    <mergeCell ref="G261:G262"/>
    <mergeCell ref="E57:E58"/>
    <mergeCell ref="A261:A262"/>
    <mergeCell ref="D39:D40"/>
    <mergeCell ref="A43:A44"/>
    <mergeCell ref="G27:G28"/>
    <mergeCell ref="B117:B121"/>
    <mergeCell ref="D247:D248"/>
    <mergeCell ref="A107:A108"/>
    <mergeCell ref="C107:C108"/>
    <mergeCell ref="C101:C102"/>
    <mergeCell ref="B233:B234"/>
    <mergeCell ref="E223:E224"/>
    <mergeCell ref="B122:B123"/>
    <mergeCell ref="G223:G224"/>
    <mergeCell ref="C221:C222"/>
    <mergeCell ref="G179:G180"/>
    <mergeCell ref="D249:D250"/>
    <mergeCell ref="C231:C232"/>
    <mergeCell ref="E231:E232"/>
    <mergeCell ref="E165:E166"/>
    <mergeCell ref="B235:B236"/>
    <mergeCell ref="B291:B292"/>
    <mergeCell ref="G287:G288"/>
    <mergeCell ref="D291:D292"/>
    <mergeCell ref="B82:B83"/>
    <mergeCell ref="G279:G280"/>
    <mergeCell ref="B57:B58"/>
    <mergeCell ref="G53:G54"/>
    <mergeCell ref="D57:D58"/>
    <mergeCell ref="B293:B294"/>
    <mergeCell ref="G289:G290"/>
    <mergeCell ref="A183:A184"/>
    <mergeCell ref="D293:D294"/>
    <mergeCell ref="C183:C184"/>
    <mergeCell ref="A12:A13"/>
    <mergeCell ref="C12:C13"/>
    <mergeCell ref="F8:F9"/>
    <mergeCell ref="D73:D79"/>
    <mergeCell ref="G55:G56"/>
    <mergeCell ref="F73:F79"/>
    <mergeCell ref="A117:A121"/>
    <mergeCell ref="D181:D182"/>
    <mergeCell ref="A247:A248"/>
    <mergeCell ref="F23:F24"/>
    <mergeCell ref="A185:A186"/>
    <mergeCell ref="C247:C248"/>
    <mergeCell ref="F181:F182"/>
    <mergeCell ref="E149:E150"/>
    <mergeCell ref="D273:D274"/>
    <mergeCell ref="C241:C242"/>
    <mergeCell ref="F273:F274"/>
    <mergeCell ref="E241:E242"/>
    <mergeCell ref="A122:A123"/>
    <mergeCell ref="A249:A250"/>
    <mergeCell ref="F245:F246"/>
    <mergeCell ref="F179:F180"/>
    <mergeCell ref="C249:C250"/>
    <mergeCell ref="F239:F240"/>
    <mergeCell ref="B217:B218"/>
    <mergeCell ref="C243:C244"/>
    <mergeCell ref="B133:B134"/>
    <mergeCell ref="C122:C123"/>
    <mergeCell ref="E243:E244"/>
    <mergeCell ref="D133:D134"/>
    <mergeCell ref="F39:F40"/>
    <mergeCell ref="E14:E16"/>
    <mergeCell ref="B4:B5"/>
    <mergeCell ref="B141:B142"/>
    <mergeCell ref="A201:A202"/>
    <mergeCell ref="G2:G3"/>
    <mergeCell ref="B199:B200"/>
    <mergeCell ref="D128:D129"/>
    <mergeCell ref="D199:D200"/>
    <mergeCell ref="F128:F129"/>
    <mergeCell ref="E219:E220"/>
    <mergeCell ref="F255:F256"/>
    <mergeCell ref="B149:B150"/>
    <mergeCell ref="F103:F104"/>
    <mergeCell ref="A275:A276"/>
    <mergeCell ref="F205:F206"/>
    <mergeCell ref="C269:C270"/>
    <mergeCell ref="A267:A268"/>
    <mergeCell ref="D14:D16"/>
    <mergeCell ref="A277:A278"/>
    <mergeCell ref="B243:B244"/>
    <mergeCell ref="A133:A134"/>
    <mergeCell ref="F14:F16"/>
    <mergeCell ref="E17:E22"/>
    <mergeCell ref="F169:F170"/>
    <mergeCell ref="C99:C100"/>
    <mergeCell ref="E173:E174"/>
    <mergeCell ref="G124:G125"/>
    <mergeCell ref="G213:G214"/>
    <mergeCell ref="C237:C238"/>
    <mergeCell ref="F27:F28"/>
    <mergeCell ref="E237:E238"/>
    <mergeCell ref="E255:E256"/>
    <mergeCell ref="G255:G256"/>
    <mergeCell ref="B221:B222"/>
    <mergeCell ref="G211:G212"/>
    <mergeCell ref="D231:D232"/>
    <mergeCell ref="D187:D188"/>
    <mergeCell ref="A257:A258"/>
    <mergeCell ref="G219:G220"/>
    <mergeCell ref="F187:F188"/>
    <mergeCell ref="A82:A83"/>
    <mergeCell ref="D124:D125"/>
    <mergeCell ref="F53:F54"/>
    <mergeCell ref="A128:A129"/>
    <mergeCell ref="F289:F290"/>
    <mergeCell ref="C128:C129"/>
    <mergeCell ref="E8:E9"/>
    <mergeCell ref="B12:B13"/>
    <mergeCell ref="G8:G9"/>
    <mergeCell ref="C29:C30"/>
    <mergeCell ref="F55:F56"/>
    <mergeCell ref="E23:E24"/>
    <mergeCell ref="C10:C11"/>
    <mergeCell ref="E181:E182"/>
    <mergeCell ref="B247:B248"/>
    <mergeCell ref="E10:E11"/>
    <mergeCell ref="G181:G182"/>
    <mergeCell ref="G10:G11"/>
    <mergeCell ref="B189:B191"/>
    <mergeCell ref="D263:D264"/>
    <mergeCell ref="F263:F264"/>
    <mergeCell ref="B157:B158"/>
    <mergeCell ref="E192:E194"/>
    <mergeCell ref="B151:B152"/>
    <mergeCell ref="E245:E246"/>
    <mergeCell ref="D213:D214"/>
    <mergeCell ref="D151:D152"/>
    <mergeCell ref="B249:B250"/>
    <mergeCell ref="A217:A218"/>
    <mergeCell ref="C41:C42"/>
    <mergeCell ref="G239:G240"/>
    <mergeCell ref="G201:G202"/>
    <mergeCell ref="G139:G140"/>
    <mergeCell ref="D17:D22"/>
    <mergeCell ref="A269:A270"/>
    <mergeCell ref="E89:E90"/>
    <mergeCell ref="G33:G36"/>
    <mergeCell ref="D215:D216"/>
    <mergeCell ref="C105:C106"/>
    <mergeCell ref="A285:A286"/>
    <mergeCell ref="F215:F216"/>
    <mergeCell ref="A141:A142"/>
    <mergeCell ref="E105:E106"/>
    <mergeCell ref="B80:B81"/>
    <mergeCell ref="C43:C44"/>
    <mergeCell ref="G51:G52"/>
    <mergeCell ref="D8:D9"/>
    <mergeCell ref="D279:D280"/>
    <mergeCell ref="G143:G144"/>
    <mergeCell ref="F37:F38"/>
    <mergeCell ref="A143:A144"/>
    <mergeCell ref="A199:A200"/>
    <mergeCell ref="E163:E164"/>
    <mergeCell ref="E101:E102"/>
    <mergeCell ref="C199:C200"/>
    <mergeCell ref="G163:G164"/>
    <mergeCell ref="E199:E200"/>
    <mergeCell ref="D10:D11"/>
    <mergeCell ref="C263:C264"/>
    <mergeCell ref="G165:G166"/>
    <mergeCell ref="E263:E264"/>
    <mergeCell ref="B91:B92"/>
    <mergeCell ref="B25:B26"/>
    <mergeCell ref="C151:C152"/>
    <mergeCell ref="C265:C266"/>
    <mergeCell ref="B155:B156"/>
    <mergeCell ref="E265:E266"/>
    <mergeCell ref="D155:D156"/>
    <mergeCell ref="B93:B94"/>
    <mergeCell ref="G23:G24"/>
    <mergeCell ref="D149:D150"/>
    <mergeCell ref="A153:A154"/>
    <mergeCell ref="G169:G170"/>
    <mergeCell ref="D195:D196"/>
    <mergeCell ref="F124:F125"/>
    <mergeCell ref="B145:B146"/>
    <mergeCell ref="F213:F214"/>
    <mergeCell ref="D139:D140"/>
    <mergeCell ref="G233:G234"/>
    <mergeCell ref="D259:D260"/>
    <mergeCell ref="D126:D127"/>
    <mergeCell ref="D197:D198"/>
    <mergeCell ref="F259:F260"/>
    <mergeCell ref="F126:F127"/>
    <mergeCell ref="A273:A274"/>
    <mergeCell ref="B239:B240"/>
    <mergeCell ref="G235:G236"/>
    <mergeCell ref="F203:F204"/>
    <mergeCell ref="C31:C32"/>
    <mergeCell ref="E31:E32"/>
    <mergeCell ref="B84:B85"/>
    <mergeCell ref="C95:C96"/>
    <mergeCell ref="E95:E96"/>
    <mergeCell ref="D221:D222"/>
    <mergeCell ref="E187:E188"/>
    <mergeCell ref="B130:B132"/>
    <mergeCell ref="B257:B258"/>
    <mergeCell ref="G89:G90"/>
    <mergeCell ref="D25:D26"/>
    <mergeCell ref="E159:E160"/>
    <mergeCell ref="E97:E98"/>
    <mergeCell ref="E124:E125"/>
    <mergeCell ref="G14:G16"/>
    <mergeCell ref="G153:G154"/>
    <mergeCell ref="E251:E252"/>
    <mergeCell ref="D223:D224"/>
    <mergeCell ref="G251:G252"/>
    <mergeCell ref="D86:D88"/>
    <mergeCell ref="F279:F280"/>
    <mergeCell ref="F86:F88"/>
    <mergeCell ref="D23:D24"/>
    <mergeCell ref="G217:G218"/>
    <mergeCell ref="E126:E127"/>
    <mergeCell ref="E253:E254"/>
    <mergeCell ref="G189:G191"/>
    <mergeCell ref="A291:A292"/>
    <mergeCell ref="E59:E72"/>
    <mergeCell ref="A49:A50"/>
    <mergeCell ref="F281:F282"/>
    <mergeCell ref="A207:A208"/>
    <mergeCell ref="A189:A191"/>
    <mergeCell ref="C49:C50"/>
    <mergeCell ref="B31:B32"/>
    <mergeCell ref="F10:F11"/>
    <mergeCell ref="A157:A158"/>
    <mergeCell ref="G141:G142"/>
    <mergeCell ref="A84:A85"/>
    <mergeCell ref="D145:D146"/>
    <mergeCell ref="A271:A272"/>
    <mergeCell ref="F201:F202"/>
    <mergeCell ref="A149:A150"/>
    <mergeCell ref="C271:C272"/>
    <mergeCell ref="F145:F146"/>
    <mergeCell ref="F139:F140"/>
    <mergeCell ref="E29:E30"/>
    <mergeCell ref="A221:A222"/>
    <mergeCell ref="F285:F286"/>
    <mergeCell ref="F89:F90"/>
    <mergeCell ref="C215:C216"/>
    <mergeCell ref="B105:B106"/>
    <mergeCell ref="E215:E216"/>
    <mergeCell ref="D105:D106"/>
    <mergeCell ref="A80:A81"/>
    <mergeCell ref="C80:C81"/>
    <mergeCell ref="C273:C274"/>
    <mergeCell ref="F51:F52"/>
    <mergeCell ref="G6:G7"/>
    <mergeCell ref="E279:E280"/>
    <mergeCell ref="B111:B116"/>
    <mergeCell ref="B107:B108"/>
    <mergeCell ref="D107:D108"/>
    <mergeCell ref="G37:G38"/>
    <mergeCell ref="G95:G96"/>
    <mergeCell ref="B171:B172"/>
    <mergeCell ref="B49:B50"/>
    <mergeCell ref="E281:E282"/>
    <mergeCell ref="D171:D172"/>
    <mergeCell ref="B207:B208"/>
    <mergeCell ref="A175:A176"/>
    <mergeCell ref="D165:D166"/>
    <mergeCell ref="F165:F166"/>
    <mergeCell ref="A4:A5"/>
    <mergeCell ref="C91:C92"/>
    <mergeCell ref="D211:D212"/>
    <mergeCell ref="C39:C40"/>
    <mergeCell ref="B173:B174"/>
    <mergeCell ref="D173:D174"/>
    <mergeCell ref="E139:E140"/>
    <mergeCell ref="D29:D30"/>
    <mergeCell ref="B265:B266"/>
    <mergeCell ref="F229:F230"/>
    <mergeCell ref="A155:A156"/>
    <mergeCell ref="D265:D266"/>
    <mergeCell ref="C155:C156"/>
    <mergeCell ref="A93:A94"/>
    <mergeCell ref="F29:F30"/>
    <mergeCell ref="F275:F276"/>
    <mergeCell ref="C195:C196"/>
    <mergeCell ref="G159:G160"/>
    <mergeCell ref="D31:D32"/>
    <mergeCell ref="E195:E196"/>
    <mergeCell ref="C157:C158"/>
    <mergeCell ref="D6:D7"/>
    <mergeCell ref="E213:E214"/>
    <mergeCell ref="F6:F7"/>
    <mergeCell ref="E151:E152"/>
    <mergeCell ref="A197:A198"/>
    <mergeCell ref="C259:C260"/>
    <mergeCell ref="G161:G162"/>
    <mergeCell ref="E259:E260"/>
    <mergeCell ref="G253:G254"/>
    <mergeCell ref="C261:C262"/>
    <mergeCell ref="E261:E262"/>
    <mergeCell ref="A45:A46"/>
    <mergeCell ref="B39:B40"/>
    <mergeCell ref="D111:D116"/>
    <mergeCell ref="D95:D96"/>
    <mergeCell ref="A25:A26"/>
    <mergeCell ref="C25:C26"/>
    <mergeCell ref="D209:D210"/>
    <mergeCell ref="D147:D148"/>
    <mergeCell ref="F209:F210"/>
    <mergeCell ref="G93:G94"/>
    <mergeCell ref="G269:G270"/>
    <mergeCell ref="F159:F160"/>
    <mergeCell ref="D97:D98"/>
    <mergeCell ref="A223:A224"/>
    <mergeCell ref="F219:F220"/>
    <mergeCell ref="C163:C164"/>
    <mergeCell ref="C223:C224"/>
    <mergeCell ref="F153:F154"/>
    <mergeCell ref="A101:A102"/>
    <mergeCell ref="F97:F98"/>
    <mergeCell ref="F211:F212"/>
    <mergeCell ref="D161:D162"/>
    <mergeCell ref="A231:A232"/>
    <mergeCell ref="A165:A166"/>
    <mergeCell ref="F161:F162"/>
    <mergeCell ref="C287:C288"/>
    <mergeCell ref="C165:C166"/>
    <mergeCell ref="E45:E46"/>
    <mergeCell ref="E287:E288"/>
    <mergeCell ref="F82:F83"/>
    <mergeCell ref="G45:G46"/>
    <mergeCell ref="G281:G282"/>
    <mergeCell ref="C53:C54"/>
    <mergeCell ref="A289:A290"/>
    <mergeCell ref="E53:E54"/>
    <mergeCell ref="E109:E110"/>
    <mergeCell ref="C289:C290"/>
    <mergeCell ref="G135:G138"/>
    <mergeCell ref="G109:G110"/>
    <mergeCell ref="E289:E290"/>
    <mergeCell ref="E47:E48"/>
    <mergeCell ref="E145:E146"/>
    <mergeCell ref="G47:G48"/>
    <mergeCell ref="B271:B272"/>
    <mergeCell ref="D271:D272"/>
    <mergeCell ref="B73:B79"/>
    <mergeCell ref="F143:F144"/>
    <mergeCell ref="C147:C148"/>
    <mergeCell ref="E209:E210"/>
    <mergeCell ref="D237:D238"/>
    <mergeCell ref="E203:E204"/>
    <mergeCell ref="E147:E148"/>
    <mergeCell ref="B273:B274"/>
    <mergeCell ref="A241:A242"/>
    <mergeCell ref="F237:F238"/>
    <mergeCell ref="B223:B224"/>
    <mergeCell ref="B179:B180"/>
    <mergeCell ref="A51:A52"/>
    <mergeCell ref="A111:A116"/>
    <mergeCell ref="D179:D180"/>
    <mergeCell ref="D239:D240"/>
    <mergeCell ref="G267:G268"/>
    <mergeCell ref="A243:A244"/>
    <mergeCell ref="A105:A106"/>
    <mergeCell ref="F95:F96"/>
    <mergeCell ref="A130:A132"/>
    <mergeCell ref="E221:E222"/>
    <mergeCell ref="D45:D46"/>
    <mergeCell ref="F45:F46"/>
    <mergeCell ref="D281:D282"/>
    <mergeCell ref="C171:C172"/>
    <mergeCell ref="E171:E172"/>
    <mergeCell ref="D135:D138"/>
    <mergeCell ref="G187:G188"/>
    <mergeCell ref="C211:C212"/>
    <mergeCell ref="F135:F138"/>
    <mergeCell ref="D47:D48"/>
    <mergeCell ref="F47:F48"/>
    <mergeCell ref="A2:A3"/>
    <mergeCell ref="C173:C174"/>
    <mergeCell ref="B17:B22"/>
    <mergeCell ref="C2:C3"/>
    <mergeCell ref="E2:E3"/>
    <mergeCell ref="E229:E230"/>
    <mergeCell ref="B128:B129"/>
    <mergeCell ref="G229:G230"/>
    <mergeCell ref="A219:A220"/>
    <mergeCell ref="B255:B256"/>
    <mergeCell ref="D255:D256"/>
    <mergeCell ref="B103:B104"/>
    <mergeCell ref="D103:D104"/>
    <mergeCell ref="B205:B206"/>
    <mergeCell ref="B241:B242"/>
    <mergeCell ref="E41:E42"/>
    <mergeCell ref="G41:G42"/>
    <mergeCell ref="E277:E278"/>
    <mergeCell ref="D167:D168"/>
    <mergeCell ref="G84:G85"/>
    <mergeCell ref="B197:B198"/>
    <mergeCell ref="A17:A22"/>
    <mergeCell ref="F192:F194"/>
    <mergeCell ref="B169:B170"/>
    <mergeCell ref="G99:G100"/>
    <mergeCell ref="D169:D170"/>
    <mergeCell ref="B261:B262"/>
    <mergeCell ref="G257:G258"/>
    <mergeCell ref="F225:F226"/>
    <mergeCell ref="D261:D262"/>
    <mergeCell ref="F283:F284"/>
    <mergeCell ref="G101:G102"/>
    <mergeCell ref="B27:B28"/>
    <mergeCell ref="D27:D28"/>
    <mergeCell ref="F227:F228"/>
    <mergeCell ref="E55:E56"/>
    <mergeCell ref="A255:A256"/>
    <mergeCell ref="E86:E88"/>
    <mergeCell ref="A103:A104"/>
    <mergeCell ref="G209:G210"/>
    <mergeCell ref="C97:C98"/>
    <mergeCell ref="F291:F292"/>
    <mergeCell ref="G175:G176"/>
    <mergeCell ref="E211:E212"/>
    <mergeCell ref="E80:E81"/>
    <mergeCell ref="E161:E162"/>
    <mergeCell ref="B287:B288"/>
    <mergeCell ref="B187:B188"/>
    <mergeCell ref="D287:D288"/>
    <mergeCell ref="G177:G178"/>
    <mergeCell ref="E275:E276"/>
    <mergeCell ref="G275:G276"/>
    <mergeCell ref="D205:D206"/>
    <mergeCell ref="E225:E226"/>
    <mergeCell ref="B53:B54"/>
    <mergeCell ref="D53:D54"/>
    <mergeCell ref="B289:B290"/>
    <mergeCell ref="A57:A58"/>
    <mergeCell ref="F109:F110"/>
    <mergeCell ref="D289:D290"/>
    <mergeCell ref="A8:A9"/>
    <mergeCell ref="C8:C9"/>
    <mergeCell ref="F167:F168"/>
    <mergeCell ref="B55:B56"/>
    <mergeCell ref="A73:A79"/>
    <mergeCell ref="A23:A24"/>
    <mergeCell ref="D55:D56"/>
    <mergeCell ref="D189:D191"/>
    <mergeCell ref="A181:A182"/>
    <mergeCell ref="A10:A11"/>
    <mergeCell ref="F189:F191"/>
    <mergeCell ref="C181:C182"/>
    <mergeCell ref="A245:A246"/>
    <mergeCell ref="F175:F176"/>
    <mergeCell ref="F4:F5"/>
    <mergeCell ref="C245:C246"/>
    <mergeCell ref="B213:B214"/>
    <mergeCell ref="C179:C180"/>
    <mergeCell ref="C239:C240"/>
    <mergeCell ref="A39:A40"/>
    <mergeCell ref="B14:B16"/>
    <mergeCell ref="E239:E240"/>
    <mergeCell ref="E33:E36"/>
    <mergeCell ref="F177:F178"/>
    <mergeCell ref="B215:B216"/>
    <mergeCell ref="E51:E52"/>
    <mergeCell ref="E135:E138"/>
    <mergeCell ref="E82:E83"/>
    <mergeCell ref="B8:B9"/>
    <mergeCell ref="D233:D234"/>
    <mergeCell ref="B2:B3"/>
    <mergeCell ref="F233:F234"/>
    <mergeCell ref="B195:B196"/>
    <mergeCell ref="D2:D3"/>
    <mergeCell ref="G122:G123"/>
    <mergeCell ref="G59:G72"/>
    <mergeCell ref="B231:B232"/>
    <mergeCell ref="F251:F252"/>
    <mergeCell ref="C255:C256"/>
    <mergeCell ref="A205:A206"/>
    <mergeCell ref="G73:G79"/>
    <mergeCell ref="F235:F236"/>
    <mergeCell ref="F91:F92"/>
    <mergeCell ref="A263:A264"/>
    <mergeCell ref="D253:D254"/>
    <mergeCell ref="B283:B284"/>
    <mergeCell ref="F253:F254"/>
    <mergeCell ref="D41:D42"/>
    <mergeCell ref="F41:F42"/>
    <mergeCell ref="D277:D278"/>
    <mergeCell ref="C167:C168"/>
    <mergeCell ref="F155:F156"/>
    <mergeCell ref="F93:F94"/>
    <mergeCell ref="C219:C220"/>
    <mergeCell ref="C23:C24"/>
    <mergeCell ref="D43:D44"/>
    <mergeCell ref="F105:F106"/>
    <mergeCell ref="F43:F44"/>
    <mergeCell ref="C169:C170"/>
    <mergeCell ref="E169:E170"/>
    <mergeCell ref="E117:E121"/>
    <mergeCell ref="B124:B125"/>
    <mergeCell ref="G225:G226"/>
    <mergeCell ref="G117:G121"/>
    <mergeCell ref="B99:B100"/>
    <mergeCell ref="E283:E284"/>
    <mergeCell ref="C233:C234"/>
    <mergeCell ref="E233:E234"/>
    <mergeCell ref="E227:E228"/>
    <mergeCell ref="B163:B164"/>
    <mergeCell ref="B126:B127"/>
    <mergeCell ref="G227:G228"/>
    <mergeCell ref="B86:B88"/>
    <mergeCell ref="C235:C236"/>
    <mergeCell ref="B203:B204"/>
    <mergeCell ref="A31:A32"/>
    <mergeCell ref="G291:G292"/>
    <mergeCell ref="G57:G58"/>
    <mergeCell ref="F25:F26"/>
    <mergeCell ref="E293:E294"/>
    <mergeCell ref="D183:D184"/>
    <mergeCell ref="G293:G294"/>
    <mergeCell ref="B219:B220"/>
    <mergeCell ref="A187:A188"/>
    <mergeCell ref="F183:F184"/>
    <mergeCell ref="D219:D220"/>
    <mergeCell ref="D275:D276"/>
    <mergeCell ref="C187:C188"/>
    <mergeCell ref="C89:C90"/>
    <mergeCell ref="F12:F13"/>
    <mergeCell ref="C205:C206"/>
    <mergeCell ref="E205:E206"/>
    <mergeCell ref="A124:A125"/>
    <mergeCell ref="D185:D186"/>
    <mergeCell ref="A251:A252"/>
    <mergeCell ref="F247:F248"/>
    <mergeCell ref="F185:F186"/>
    <mergeCell ref="C251:C252"/>
    <mergeCell ref="E153:E154"/>
    <mergeCell ref="C124:C125"/>
    <mergeCell ref="E167:E168"/>
    <mergeCell ref="C14:C16"/>
    <mergeCell ref="D122:D123"/>
    <mergeCell ref="A55:A56"/>
    <mergeCell ref="A126:A127"/>
    <mergeCell ref="C55:C56"/>
    <mergeCell ref="A59:A72"/>
    <mergeCell ref="E6:E7"/>
    <mergeCell ref="F243:F244"/>
    <mergeCell ref="E189:E191"/>
    <mergeCell ref="B181:B182"/>
    <mergeCell ref="E133:E134"/>
    <mergeCell ref="G133:G134"/>
    <mergeCell ref="B10:B11"/>
    <mergeCell ref="B147:B148"/>
    <mergeCell ref="B245:B246"/>
    <mergeCell ref="G4:G5"/>
    <mergeCell ref="D245:D246"/>
    <mergeCell ref="B201:B202"/>
    <mergeCell ref="B139:B140"/>
    <mergeCell ref="D201:D202"/>
    <mergeCell ref="A29:A30"/>
    <mergeCell ref="A265:A266"/>
    <mergeCell ref="F261:F262"/>
    <mergeCell ref="B285:B286"/>
    <mergeCell ref="B89:B90"/>
    <mergeCell ref="B33:B36"/>
    <mergeCell ref="D33:D36"/>
    <mergeCell ref="D89:D90"/>
    <mergeCell ref="A215:A216"/>
    <mergeCell ref="D203:D204"/>
    <mergeCell ref="B51:B52"/>
    <mergeCell ref="D51:D52"/>
    <mergeCell ref="D82:D83"/>
    <mergeCell ref="F107:F108"/>
    <mergeCell ref="A279:A280"/>
    <mergeCell ref="G241:G242"/>
    <mergeCell ref="A86:A88"/>
    <mergeCell ref="C279:C280"/>
    <mergeCell ref="F269:F270"/>
    <mergeCell ref="C37:C38"/>
    <mergeCell ref="E37:E38"/>
    <mergeCell ref="F171:F1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397"/>
  <sheetViews>
    <sheetView showGridLines="1" workbookViewId="0">
      <selection activeCell="A1" sqref="A1"/>
    </sheetView>
  </sheetViews>
  <sheetFormatPr baseColWidth="8" defaultColWidth="14" defaultRowHeight="19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17" customHeight="1" s="26">
      <c r="A1" s="22" t="inlineStr">
        <is>
          <t>Sequence</t>
        </is>
      </c>
      <c r="B1" s="22" t="inlineStr">
        <is>
          <t>Clip</t>
        </is>
      </c>
      <c r="C1" s="21" t="inlineStr">
        <is>
          <t>Frame ID</t>
        </is>
      </c>
      <c r="D1" s="36" t="inlineStr">
        <is>
          <t>Visualizations</t>
        </is>
      </c>
      <c r="E1" s="28" t="n"/>
      <c r="F1" s="29" t="n"/>
      <c r="G1" s="21" t="inlineStr">
        <is>
          <t>Problem</t>
        </is>
      </c>
    </row>
    <row r="2" ht="41" customHeight="1" s="26">
      <c r="A2" s="27" t="inlineStr">
        <is>
          <t>2026-03-13_03-03-32</t>
        </is>
      </c>
      <c r="B2" s="27" t="inlineStr">
        <is>
          <t>1773371068404_1773371088304</t>
        </is>
      </c>
      <c r="C2" s="27" t="inlineStr">
        <is>
          <t>1773371086904.png-1773371088304.png</t>
        </is>
      </c>
      <c r="D2" s="32">
        <f>IMAGE("https://liskibruh.github.io/l4_data_sheets_table_images_mapper/l4_problematic_frames/xl/media/image314.png")</f>
        <v/>
      </c>
      <c r="E2" s="32">
        <f>IMAGE("https://liskibruh.github.io/l4_data_sheets_table_images_mapper/l4_problematic_frames/xl/media/image315.png")</f>
        <v/>
      </c>
      <c r="F2" s="30" t="n"/>
      <c r="G2" s="27" t="inlineStr">
        <is>
          <t>Missing static objects</t>
        </is>
      </c>
    </row>
    <row r="3" ht="17" customHeight="1" s="26">
      <c r="A3" s="33" t="n"/>
      <c r="B3" s="33" t="n"/>
      <c r="C3" s="33" t="n"/>
      <c r="D3" s="33" t="n"/>
      <c r="E3" s="33" t="n"/>
      <c r="F3" s="33" t="n"/>
      <c r="G3" s="33" t="n"/>
    </row>
    <row r="4" ht="41" customHeight="1" s="26">
      <c r="A4" s="27" t="inlineStr">
        <is>
          <t>2026-03-13_03-03-32</t>
        </is>
      </c>
      <c r="B4" s="27" t="inlineStr">
        <is>
          <t>1773371088404_1773371108304</t>
        </is>
      </c>
      <c r="C4" s="27" t="inlineStr">
        <is>
          <t>1773371097504.png</t>
        </is>
      </c>
      <c r="D4" s="32">
        <f>IMAGE("https://liskibruh.github.io/l4_data_sheets_table_images_mapper/l4_problematic_frames/xl/media/image316.png")</f>
        <v/>
      </c>
      <c r="E4" s="30" t="n"/>
      <c r="F4" s="30" t="n"/>
      <c r="G4" s="27" t="inlineStr">
        <is>
          <t>Missing static object</t>
        </is>
      </c>
    </row>
    <row r="5" ht="17" customHeight="1" s="26">
      <c r="A5" s="33" t="n"/>
      <c r="B5" s="33" t="n"/>
      <c r="C5" s="33" t="n"/>
      <c r="D5" s="33" t="n"/>
      <c r="E5" s="33" t="n"/>
      <c r="F5" s="33" t="n"/>
      <c r="G5" s="33" t="n"/>
    </row>
    <row r="6" ht="55" customHeight="1" s="26">
      <c r="A6" s="27" t="inlineStr">
        <is>
          <t>2026-03-13_03-03-32</t>
        </is>
      </c>
      <c r="B6" s="27" t="inlineStr">
        <is>
          <t>1773371088404_1773371108304</t>
        </is>
      </c>
      <c r="C6" s="27" t="inlineStr">
        <is>
          <t>1773371099004.png - 1773371100005.png</t>
        </is>
      </c>
      <c r="D6" s="32">
        <f>IMAGE("https://liskibruh.github.io/l4_data_sheets_table_images_mapper/l4_problematic_frames/xl/media/image317.png")</f>
        <v/>
      </c>
      <c r="E6" s="32">
        <f>IMAGE("https://liskibruh.github.io/l4_data_sheets_table_images_mapper/l4_problematic_frames/xl/media/image317.png")</f>
        <v/>
      </c>
      <c r="F6" s="30" t="n"/>
      <c r="G6" s="27" t="inlineStr">
        <is>
          <t>Missing static object</t>
        </is>
      </c>
    </row>
    <row r="7" ht="17" customHeight="1" s="26">
      <c r="A7" s="33" t="n"/>
      <c r="B7" s="33" t="n"/>
      <c r="C7" s="33" t="n"/>
      <c r="D7" s="33" t="n"/>
      <c r="E7" s="33" t="n"/>
      <c r="F7" s="33" t="n"/>
      <c r="G7" s="33" t="n"/>
    </row>
    <row r="8" ht="55" customHeight="1" s="26">
      <c r="A8" s="27" t="inlineStr">
        <is>
          <t>2026-03-13_03-03-32</t>
        </is>
      </c>
      <c r="B8" s="27" t="inlineStr">
        <is>
          <t>1773371088404_1773371108304</t>
        </is>
      </c>
      <c r="C8" s="27" t="inlineStr">
        <is>
          <t>1773371100005.png - 1773371100504.png</t>
        </is>
      </c>
      <c r="D8" s="32">
        <f>IMAGE("https://liskibruh.github.io/l4_data_sheets_table_images_mapper/l4_problematic_frames/xl/media/image318.png")</f>
        <v/>
      </c>
      <c r="E8" s="32">
        <f>IMAGE("https://liskibruh.github.io/l4_data_sheets_table_images_mapper/l4_problematic_frames/xl/media/image317.png")</f>
        <v/>
      </c>
      <c r="F8" s="30" t="n"/>
      <c r="G8" s="27" t="inlineStr">
        <is>
          <t>Missing static object</t>
        </is>
      </c>
    </row>
    <row r="9" ht="17" customHeight="1" s="26">
      <c r="A9" s="33" t="n"/>
      <c r="B9" s="33" t="n"/>
      <c r="C9" s="33" t="n"/>
      <c r="D9" s="33" t="n"/>
      <c r="E9" s="33" t="n"/>
      <c r="F9" s="33" t="n"/>
      <c r="G9" s="33" t="n"/>
    </row>
    <row r="10" ht="41" customHeight="1" s="26">
      <c r="A10" s="27" t="inlineStr">
        <is>
          <t>2026-03-13_03-03-32</t>
        </is>
      </c>
      <c r="B10" s="27" t="inlineStr">
        <is>
          <t>1773371088404_1773371108304</t>
        </is>
      </c>
      <c r="C10" s="27" t="inlineStr">
        <is>
          <t>1773371097504.png</t>
        </is>
      </c>
      <c r="D10" s="32">
        <f>IMAGE("https://liskibruh.github.io/l4_data_sheets_table_images_mapper/l4_problematic_frames/xl/media/image316.png")</f>
        <v/>
      </c>
      <c r="E10" s="30" t="n"/>
      <c r="F10" s="30" t="n"/>
      <c r="G10" s="27" t="inlineStr">
        <is>
          <t>Missing car detection</t>
        </is>
      </c>
    </row>
    <row r="11" ht="17" customHeight="1" s="26">
      <c r="A11" s="33" t="n"/>
      <c r="B11" s="33" t="n"/>
      <c r="C11" s="33" t="n"/>
      <c r="D11" s="33" t="n"/>
      <c r="E11" s="33" t="n"/>
      <c r="F11" s="33" t="n"/>
      <c r="G11" s="33" t="n"/>
    </row>
    <row r="12" ht="41" customHeight="1" s="26">
      <c r="A12" s="27" t="inlineStr">
        <is>
          <t>2026-03-13_03-03-32</t>
        </is>
      </c>
      <c r="B12" s="27" t="inlineStr">
        <is>
          <t>1773371088404_1773371108304</t>
        </is>
      </c>
      <c r="C12" s="27" t="inlineStr">
        <is>
          <t>1773371105505.png</t>
        </is>
      </c>
      <c r="D12" s="32">
        <f>IMAGE("https://liskibruh.github.io/l4_data_sheets_table_images_mapper/l4_problematic_frames/xl/media/image319.png")</f>
        <v/>
      </c>
      <c r="E12" s="30" t="n"/>
      <c r="F12" s="30" t="n"/>
      <c r="G12" s="27" t="inlineStr">
        <is>
          <t>Missing static object</t>
        </is>
      </c>
    </row>
    <row r="13" ht="17" customHeight="1" s="26">
      <c r="A13" s="33" t="n"/>
      <c r="B13" s="33" t="n"/>
      <c r="C13" s="33" t="n"/>
      <c r="D13" s="33" t="n"/>
      <c r="E13" s="33" t="n"/>
      <c r="F13" s="33" t="n"/>
      <c r="G13" s="33" t="n"/>
    </row>
    <row r="14" ht="55" customHeight="1" s="26">
      <c r="A14" s="27" t="inlineStr">
        <is>
          <t>2026-03-13_03-03-32</t>
        </is>
      </c>
      <c r="B14" s="27" t="inlineStr">
        <is>
          <t>1773371128404_1773371148304</t>
        </is>
      </c>
      <c r="C14" s="27" t="inlineStr">
        <is>
          <t>1773371140005.png - 1773371141204.png</t>
        </is>
      </c>
      <c r="D14" s="32">
        <f>IMAGE("https://liskibruh.github.io/l4_data_sheets_table_images_mapper/l4_problematic_frames/xl/media/image320.png")</f>
        <v/>
      </c>
      <c r="E14" s="32">
        <f>IMAGE("https://liskibruh.github.io/l4_data_sheets_table_images_mapper/l4_problematic_frames/xl/media/image321.png")</f>
        <v/>
      </c>
      <c r="F14" s="30" t="n"/>
      <c r="G14" s="27" t="inlineStr">
        <is>
          <t>Missing static object</t>
        </is>
      </c>
    </row>
    <row r="15" ht="17" customHeight="1" s="26">
      <c r="A15" s="33" t="n"/>
      <c r="B15" s="33" t="n"/>
      <c r="C15" s="33" t="n"/>
      <c r="D15" s="33" t="n"/>
      <c r="E15" s="33" t="n"/>
      <c r="F15" s="33" t="n"/>
      <c r="G15" s="33" t="n"/>
    </row>
    <row r="16" ht="41" customHeight="1" s="26">
      <c r="A16" s="27" t="inlineStr">
        <is>
          <t>2026-03-13_03-03-32</t>
        </is>
      </c>
      <c r="B16" s="27" t="inlineStr">
        <is>
          <t>1773371128404_1773371148304</t>
        </is>
      </c>
      <c r="C16" s="27" t="inlineStr">
        <is>
          <t>1773371139204.png</t>
        </is>
      </c>
      <c r="D16" s="32">
        <f>IMAGE("https://liskibruh.github.io/l4_data_sheets_table_images_mapper/l4_problematic_frames/xl/media/image322.png")</f>
        <v/>
      </c>
      <c r="E16" s="30" t="n"/>
      <c r="F16" s="30" t="n"/>
      <c r="G16" s="27" t="inlineStr">
        <is>
          <t>Missing static object</t>
        </is>
      </c>
    </row>
    <row r="17" ht="17" customHeight="1" s="26">
      <c r="A17" s="33" t="n"/>
      <c r="B17" s="33" t="n"/>
      <c r="C17" s="33" t="n"/>
      <c r="D17" s="33" t="n"/>
      <c r="E17" s="33" t="n"/>
      <c r="F17" s="33" t="n"/>
      <c r="G17" s="33" t="n"/>
    </row>
    <row r="18" ht="41" customHeight="1" s="26">
      <c r="A18" s="27" t="inlineStr">
        <is>
          <t>2026-03-13_03-03-32</t>
        </is>
      </c>
      <c r="B18" s="27" t="inlineStr">
        <is>
          <t>1773371128404_1773371148304</t>
        </is>
      </c>
      <c r="C18" s="27" t="inlineStr">
        <is>
          <t>1773371142905.png</t>
        </is>
      </c>
      <c r="D18" s="32">
        <f>IMAGE("https://liskibruh.github.io/l4_data_sheets_table_images_mapper/l4_problematic_frames/xl/media/image323.png")</f>
        <v/>
      </c>
      <c r="E18" s="30" t="n"/>
      <c r="F18" s="30" t="n"/>
      <c r="G18" s="27" t="inlineStr">
        <is>
          <t>Missing static object</t>
        </is>
      </c>
    </row>
    <row r="19" ht="17" customHeight="1" s="26">
      <c r="A19" s="33" t="n"/>
      <c r="B19" s="33" t="n"/>
      <c r="C19" s="33" t="n"/>
      <c r="D19" s="33" t="n"/>
      <c r="E19" s="33" t="n"/>
      <c r="F19" s="33" t="n"/>
      <c r="G19" s="33" t="n"/>
    </row>
    <row r="20" ht="55" customHeight="1" s="26">
      <c r="A20" s="27" t="inlineStr">
        <is>
          <t>2026-03-13_03-03-32</t>
        </is>
      </c>
      <c r="B20" s="27" t="inlineStr">
        <is>
          <t>1773371128404_1773371148304</t>
        </is>
      </c>
      <c r="C20" s="27" t="inlineStr">
        <is>
          <t>1773371150604.png - 1773371151404.png</t>
        </is>
      </c>
      <c r="D20" s="32">
        <f>IMAGE("https://liskibruh.github.io/l4_data_sheets_table_images_mapper/l4_problematic_frames/xl/media/image324.png")</f>
        <v/>
      </c>
      <c r="E20" s="32">
        <f>IMAGE("https://liskibruh.github.io/l4_data_sheets_table_images_mapper/l4_problematic_frames/xl/media/image325.png")</f>
        <v/>
      </c>
      <c r="F20" s="30" t="n"/>
      <c r="G20" s="27" t="inlineStr">
        <is>
          <t>Missing truck and static objects</t>
        </is>
      </c>
    </row>
    <row r="21" ht="17" customHeight="1" s="26">
      <c r="A21" s="33" t="n"/>
      <c r="B21" s="33" t="n"/>
      <c r="C21" s="33" t="n"/>
      <c r="D21" s="33" t="n"/>
      <c r="E21" s="33" t="n"/>
      <c r="F21" s="33" t="n"/>
      <c r="G21" s="33" t="n"/>
    </row>
    <row r="22" ht="41" customHeight="1" s="26">
      <c r="A22" s="27" t="inlineStr">
        <is>
          <t>2026-03-13_03-03-32</t>
        </is>
      </c>
      <c r="B22" s="27" t="inlineStr">
        <is>
          <t>1773371128404_1773371148304</t>
        </is>
      </c>
      <c r="C22" s="27" t="inlineStr">
        <is>
          <t>1773371151603.png</t>
        </is>
      </c>
      <c r="D22" s="32">
        <f>IMAGE("https://liskibruh.github.io/l4_data_sheets_table_images_mapper/l4_problematic_frames/xl/media/image326.png")</f>
        <v/>
      </c>
      <c r="E22" s="30" t="n"/>
      <c r="F22" s="30" t="n"/>
      <c r="G22" s="27" t="inlineStr">
        <is>
          <t>Bad frame</t>
        </is>
      </c>
    </row>
    <row r="23" ht="17" customHeight="1" s="26">
      <c r="A23" s="33" t="n"/>
      <c r="B23" s="33" t="n"/>
      <c r="C23" s="33" t="n"/>
      <c r="D23" s="33" t="n"/>
      <c r="E23" s="33" t="n"/>
      <c r="F23" s="33" t="n"/>
      <c r="G23" s="33" t="n"/>
    </row>
    <row r="24" ht="55" customHeight="1" s="26">
      <c r="A24" s="27" t="inlineStr">
        <is>
          <t>2026-03-13_03-03-32</t>
        </is>
      </c>
      <c r="B24" s="27" t="inlineStr">
        <is>
          <t>1773371128404_1773371148304</t>
        </is>
      </c>
      <c r="C24" s="27" t="inlineStr">
        <is>
          <t>1773371152605.png - 1773371153804.png</t>
        </is>
      </c>
      <c r="D24" s="32">
        <f>IMAGE("https://liskibruh.github.io/l4_data_sheets_table_images_mapper/l4_problematic_frames/xl/media/image327.png")</f>
        <v/>
      </c>
      <c r="E24" s="32">
        <f>IMAGE("https://liskibruh.github.io/l4_data_sheets_table_images_mapper/l4_problematic_frames/xl/media/image328.png")</f>
        <v/>
      </c>
      <c r="F24" s="30" t="n"/>
      <c r="G24" s="27" t="inlineStr">
        <is>
          <t>Missing static object</t>
        </is>
      </c>
    </row>
    <row r="25" ht="17" customHeight="1" s="26">
      <c r="A25" s="33" t="n"/>
      <c r="B25" s="33" t="n"/>
      <c r="C25" s="33" t="n"/>
      <c r="D25" s="33" t="n"/>
      <c r="E25" s="33" t="n"/>
      <c r="F25" s="33" t="n"/>
      <c r="G25" s="33" t="n"/>
    </row>
    <row r="26" ht="55" customHeight="1" s="26">
      <c r="A26" s="27" t="inlineStr">
        <is>
          <t>2026-03-13_03-03-32</t>
        </is>
      </c>
      <c r="B26" s="27" t="inlineStr">
        <is>
          <t>1773371148504_1773371168404</t>
        </is>
      </c>
      <c r="C26" s="27" t="inlineStr">
        <is>
          <t>1773371157005.png - 1773371157105.png</t>
        </is>
      </c>
      <c r="D26" s="32">
        <f>IMAGE("https://liskibruh.github.io/l4_data_sheets_table_images_mapper/l4_problematic_frames/xl/media/image329.png")</f>
        <v/>
      </c>
      <c r="E26" s="32">
        <f>IMAGE("https://liskibruh.github.io/l4_data_sheets_table_images_mapper/l4_problematic_frames/xl/media/image330.png")</f>
        <v/>
      </c>
      <c r="F26" s="30" t="n"/>
      <c r="G26" s="27" t="inlineStr">
        <is>
          <t>Missing static object</t>
        </is>
      </c>
    </row>
    <row r="27" ht="17" customHeight="1" s="26">
      <c r="A27" s="33" t="n"/>
      <c r="B27" s="33" t="n"/>
      <c r="C27" s="33" t="n"/>
      <c r="D27" s="33" t="n"/>
      <c r="E27" s="33" t="n"/>
      <c r="F27" s="33" t="n"/>
      <c r="G27" s="33" t="n"/>
    </row>
    <row r="28" ht="55" customHeight="1" s="26">
      <c r="A28" s="27" t="inlineStr">
        <is>
          <t>2026-03-13_03-03-32</t>
        </is>
      </c>
      <c r="B28" s="27" t="inlineStr">
        <is>
          <t>1773371148504_1773371168404</t>
        </is>
      </c>
      <c r="C28" s="27" t="inlineStr">
        <is>
          <t>1773371154804.png - 1773371157804.png</t>
        </is>
      </c>
      <c r="D28" s="32">
        <f>IMAGE("https://liskibruh.github.io/l4_data_sheets_table_images_mapper/l4_problematic_frames/xl/media/image331.png")</f>
        <v/>
      </c>
      <c r="E28" s="32">
        <f>IMAGE("https://liskibruh.github.io/l4_data_sheets_table_images_mapper/l4_problematic_frames/xl/media/image329.png")</f>
        <v/>
      </c>
      <c r="F28" s="30" t="n"/>
      <c r="G28" s="27" t="inlineStr">
        <is>
          <t>Missing static objects</t>
        </is>
      </c>
    </row>
    <row r="29" ht="17" customHeight="1" s="26">
      <c r="A29" s="33" t="n"/>
      <c r="B29" s="33" t="n"/>
      <c r="C29" s="33" t="n"/>
      <c r="D29" s="33" t="n"/>
      <c r="E29" s="33" t="n"/>
      <c r="F29" s="33" t="n"/>
      <c r="G29" s="33" t="n"/>
    </row>
    <row r="30" ht="55" customHeight="1" s="26">
      <c r="A30" s="27" t="inlineStr">
        <is>
          <t>2026-03-13_03-03-32</t>
        </is>
      </c>
      <c r="B30" s="27" t="inlineStr">
        <is>
          <t>1773371148504_1773371168404</t>
        </is>
      </c>
      <c r="C30" s="27" t="inlineStr">
        <is>
          <t>1773371156904.png - 1773371158905.png</t>
        </is>
      </c>
      <c r="D30" s="32">
        <f>IMAGE("https://liskibruh.github.io/l4_data_sheets_table_images_mapper/l4_problematic_frames/xl/media/image332.png")</f>
        <v/>
      </c>
      <c r="E30" s="32">
        <f>IMAGE("https://liskibruh.github.io/l4_data_sheets_table_images_mapper/l4_problematic_frames/xl/media/image333.png")</f>
        <v/>
      </c>
      <c r="F30" s="30" t="n"/>
      <c r="G30" s="27" t="inlineStr">
        <is>
          <t>Missing truck</t>
        </is>
      </c>
    </row>
    <row r="31" ht="17" customHeight="1" s="26">
      <c r="A31" s="33" t="n"/>
      <c r="B31" s="33" t="n"/>
      <c r="C31" s="33" t="n"/>
      <c r="D31" s="33" t="n"/>
      <c r="E31" s="33" t="n"/>
      <c r="F31" s="33" t="n"/>
      <c r="G31" s="33" t="n"/>
    </row>
    <row r="32" ht="55" customHeight="1" s="26">
      <c r="A32" s="27" t="inlineStr">
        <is>
          <t>2026-03-13_03-03-32</t>
        </is>
      </c>
      <c r="B32" s="27" t="inlineStr">
        <is>
          <t>1773371148504_1773371168404</t>
        </is>
      </c>
      <c r="C32" s="27" t="inlineStr">
        <is>
          <t>1773371160004.png - 1773371161904.png</t>
        </is>
      </c>
      <c r="D32" s="32">
        <f>IMAGE("https://liskibruh.github.io/l4_data_sheets_table_images_mapper/l4_problematic_frames/xl/media/image334.png")</f>
        <v/>
      </c>
      <c r="E32" s="32">
        <f>IMAGE("https://liskibruh.github.io/l4_data_sheets_table_images_mapper/l4_problematic_frames/xl/media/image335.png")</f>
        <v/>
      </c>
      <c r="F32" s="30" t="n"/>
      <c r="G32" s="27" t="inlineStr">
        <is>
          <t>Missing truck</t>
        </is>
      </c>
    </row>
    <row r="33" ht="17" customHeight="1" s="26">
      <c r="A33" s="33" t="n"/>
      <c r="B33" s="33" t="n"/>
      <c r="C33" s="33" t="n"/>
      <c r="D33" s="33" t="n"/>
      <c r="E33" s="33" t="n"/>
      <c r="F33" s="33" t="n"/>
      <c r="G33" s="33" t="n"/>
    </row>
    <row r="34" ht="55" customHeight="1" s="26">
      <c r="A34" s="27" t="inlineStr">
        <is>
          <t>2026-03-13_03-03-32</t>
        </is>
      </c>
      <c r="B34" s="27" t="inlineStr">
        <is>
          <t>1773371148504_1773371168404</t>
        </is>
      </c>
      <c r="C34" s="27" t="inlineStr">
        <is>
          <t>1773371159004.png - 1773371159905.png</t>
        </is>
      </c>
      <c r="D34" s="32">
        <f>IMAGE("https://liskibruh.github.io/l4_data_sheets_table_images_mapper/l4_problematic_frames/xl/media/image336.png")</f>
        <v/>
      </c>
      <c r="E34" s="32">
        <f>IMAGE("https://liskibruh.github.io/l4_data_sheets_table_images_mapper/l4_problematic_frames/xl/media/image337.png")</f>
        <v/>
      </c>
      <c r="F34" s="30" t="n"/>
      <c r="G34" s="27" t="inlineStr">
        <is>
          <t>Missing static object</t>
        </is>
      </c>
    </row>
    <row r="35" ht="17" customHeight="1" s="26">
      <c r="A35" s="33" t="n"/>
      <c r="B35" s="33" t="n"/>
      <c r="C35" s="33" t="n"/>
      <c r="D35" s="33" t="n"/>
      <c r="E35" s="33" t="n"/>
      <c r="F35" s="33" t="n"/>
      <c r="G35" s="33" t="n"/>
    </row>
    <row r="36" ht="41" customHeight="1" s="26">
      <c r="A36" s="27" t="inlineStr">
        <is>
          <t>2026-03-13_03-03-32</t>
        </is>
      </c>
      <c r="B36" s="27" t="inlineStr">
        <is>
          <t>1773371148504_1773371168404</t>
        </is>
      </c>
      <c r="C36" s="27" t="inlineStr">
        <is>
          <t>1773371161804.png</t>
        </is>
      </c>
      <c r="D36" s="32">
        <f>IMAGE("https://liskibruh.github.io/l4_data_sheets_table_images_mapper/l4_problematic_frames/xl/media/image338.png")</f>
        <v/>
      </c>
      <c r="E36" s="30" t="n"/>
      <c r="F36" s="30" t="n"/>
      <c r="G36" s="27" t="inlineStr">
        <is>
          <t>Missing static object</t>
        </is>
      </c>
    </row>
    <row r="37" ht="17" customHeight="1" s="26">
      <c r="A37" s="33" t="n"/>
      <c r="B37" s="33" t="n"/>
      <c r="C37" s="33" t="n"/>
      <c r="D37" s="33" t="n"/>
      <c r="E37" s="33" t="n"/>
      <c r="F37" s="33" t="n"/>
      <c r="G37" s="33" t="n"/>
    </row>
    <row r="38" ht="55" customHeight="1" s="26">
      <c r="A38" s="27" t="inlineStr">
        <is>
          <t>2026-03-13_03-03-32</t>
        </is>
      </c>
      <c r="B38" s="27" t="inlineStr">
        <is>
          <t>1773371148504_1773371168404</t>
        </is>
      </c>
      <c r="C38" s="27" t="inlineStr">
        <is>
          <t>1773371160004.png - 1773371161904.png</t>
        </is>
      </c>
      <c r="D38" s="32">
        <f>IMAGE("https://liskibruh.github.io/l4_data_sheets_table_images_mapper/l4_problematic_frames/xl/media/image334.png")</f>
        <v/>
      </c>
      <c r="E38" s="32">
        <f>IMAGE("https://liskibruh.github.io/l4_data_sheets_table_images_mapper/l4_problematic_frames/xl/media/image335.png")</f>
        <v/>
      </c>
      <c r="F38" s="30" t="n"/>
      <c r="G38" s="27" t="inlineStr">
        <is>
          <t>Missing truck</t>
        </is>
      </c>
    </row>
    <row r="39" ht="17" customHeight="1" s="26">
      <c r="A39" s="33" t="n"/>
      <c r="B39" s="33" t="n"/>
      <c r="C39" s="33" t="n"/>
      <c r="D39" s="33" t="n"/>
      <c r="E39" s="33" t="n"/>
      <c r="F39" s="33" t="n"/>
      <c r="G39" s="33" t="n"/>
    </row>
    <row r="40" ht="41" customHeight="1" s="26">
      <c r="A40" s="27" t="inlineStr">
        <is>
          <t>2026-03-13_03-03-32</t>
        </is>
      </c>
      <c r="B40" s="27" t="inlineStr">
        <is>
          <t>1773371148504_1773371168404</t>
        </is>
      </c>
      <c r="C40" s="27" t="inlineStr">
        <is>
          <t>1773371163205.png</t>
        </is>
      </c>
      <c r="D40" s="32">
        <f>IMAGE("https://liskibruh.github.io/l4_data_sheets_table_images_mapper/l4_problematic_frames/xl/media/image339.png")</f>
        <v/>
      </c>
      <c r="E40" s="30" t="n"/>
      <c r="F40" s="30" t="n"/>
      <c r="G40" s="27" t="inlineStr">
        <is>
          <t>Missing static object</t>
        </is>
      </c>
    </row>
    <row r="41" ht="17" customHeight="1" s="26">
      <c r="A41" s="33" t="n"/>
      <c r="B41" s="33" t="n"/>
      <c r="C41" s="33" t="n"/>
      <c r="D41" s="33" t="n"/>
      <c r="E41" s="33" t="n"/>
      <c r="F41" s="33" t="n"/>
      <c r="G41" s="33" t="n"/>
    </row>
    <row r="42" ht="55" customHeight="1" s="26">
      <c r="A42" s="27" t="inlineStr">
        <is>
          <t>2026-03-13_03-03-32</t>
        </is>
      </c>
      <c r="B42" s="27" t="inlineStr">
        <is>
          <t>1773371148504_1773371168404</t>
        </is>
      </c>
      <c r="C42" s="27" t="inlineStr">
        <is>
          <t>1773371164205.png - 1773371165104.png</t>
        </is>
      </c>
      <c r="D42" s="32">
        <f>IMAGE("https://liskibruh.github.io/l4_data_sheets_table_images_mapper/l4_problematic_frames/xl/media/image340.png")</f>
        <v/>
      </c>
      <c r="E42" s="32">
        <f>IMAGE("https://liskibruh.github.io/l4_data_sheets_table_images_mapper/l4_problematic_frames/xl/media/image341.png")</f>
        <v/>
      </c>
      <c r="F42" s="30" t="n"/>
      <c r="G42" s="27" t="inlineStr">
        <is>
          <t>Missing static object</t>
        </is>
      </c>
    </row>
    <row r="43" ht="17" customHeight="1" s="26">
      <c r="A43" s="33" t="n"/>
      <c r="B43" s="33" t="n"/>
      <c r="C43" s="33" t="n"/>
      <c r="D43" s="33" t="n"/>
      <c r="E43" s="33" t="n"/>
      <c r="F43" s="33" t="n"/>
      <c r="G43" s="33" t="n"/>
    </row>
    <row r="44" ht="41" customHeight="1" s="26">
      <c r="A44" s="27" t="inlineStr">
        <is>
          <t>2026-03-13_03-03-32</t>
        </is>
      </c>
      <c r="B44" s="27" t="inlineStr">
        <is>
          <t>1773371168504_1773371188404</t>
        </is>
      </c>
      <c r="C44" s="27" t="inlineStr">
        <is>
          <t>1773371186705.png</t>
        </is>
      </c>
      <c r="D44" s="32">
        <f>IMAGE("https://liskibruh.github.io/l4_data_sheets_table_images_mapper/l4_problematic_frames/xl/media/image342.png")</f>
        <v/>
      </c>
      <c r="E44" s="30" t="n"/>
      <c r="F44" s="30" t="n"/>
      <c r="G44" s="27" t="inlineStr">
        <is>
          <t>Missing static object</t>
        </is>
      </c>
    </row>
    <row r="45" ht="17" customHeight="1" s="26">
      <c r="A45" s="33" t="n"/>
      <c r="B45" s="33" t="n"/>
      <c r="C45" s="33" t="n"/>
      <c r="D45" s="33" t="n"/>
      <c r="E45" s="33" t="n"/>
      <c r="F45" s="33" t="n"/>
      <c r="G45" s="33" t="n"/>
    </row>
    <row r="46" ht="41" customHeight="1" s="26">
      <c r="A46" s="27" t="inlineStr">
        <is>
          <t>2026-03-13_03-03-32</t>
        </is>
      </c>
      <c r="B46" s="27" t="inlineStr">
        <is>
          <t>1773371168504_1773371188404</t>
        </is>
      </c>
      <c r="C46" s="27" t="inlineStr">
        <is>
          <t>1773371187105.png</t>
        </is>
      </c>
      <c r="D46" s="32">
        <f>IMAGE("https://liskibruh.github.io/l4_data_sheets_table_images_mapper/l4_problematic_frames/xl/media/image343.png")</f>
        <v/>
      </c>
      <c r="E46" s="30" t="n"/>
      <c r="F46" s="30" t="n"/>
      <c r="G46" s="27" t="inlineStr">
        <is>
          <t>Missing static object</t>
        </is>
      </c>
    </row>
    <row r="47" ht="17" customHeight="1" s="26">
      <c r="A47" s="33" t="n"/>
      <c r="B47" s="33" t="n"/>
      <c r="C47" s="33" t="n"/>
      <c r="D47" s="33" t="n"/>
      <c r="E47" s="33" t="n"/>
      <c r="F47" s="33" t="n"/>
      <c r="G47" s="33" t="n"/>
    </row>
    <row r="48" ht="41" customHeight="1" s="26">
      <c r="A48" s="27" t="inlineStr">
        <is>
          <t>2026-03-13_03-03-32</t>
        </is>
      </c>
      <c r="B48" s="27" t="inlineStr">
        <is>
          <t>1773371168504_1773371188404</t>
        </is>
      </c>
      <c r="C48" s="27" t="inlineStr">
        <is>
          <t>1773371187205.png</t>
        </is>
      </c>
      <c r="D48" s="32">
        <f>IMAGE("https://liskibruh.github.io/l4_data_sheets_table_images_mapper/l4_problematic_frames/xl/media/image344.png")</f>
        <v/>
      </c>
      <c r="E48" s="30" t="n"/>
      <c r="F48" s="30" t="n"/>
      <c r="G48" s="27" t="inlineStr">
        <is>
          <t>Missing static object</t>
        </is>
      </c>
    </row>
    <row r="49" ht="17" customHeight="1" s="26">
      <c r="A49" s="33" t="n"/>
      <c r="B49" s="33" t="n"/>
      <c r="C49" s="33" t="n"/>
      <c r="D49" s="33" t="n"/>
      <c r="E49" s="33" t="n"/>
      <c r="F49" s="33" t="n"/>
      <c r="G49" s="33" t="n"/>
    </row>
    <row r="50" ht="41" customHeight="1" s="26">
      <c r="A50" s="27" t="inlineStr">
        <is>
          <t>2026-03-13_03-03-32</t>
        </is>
      </c>
      <c r="B50" s="27" t="inlineStr">
        <is>
          <t>1773371168504_1773371188404</t>
        </is>
      </c>
      <c r="C50" s="27" t="inlineStr">
        <is>
          <t>1773371193304.png</t>
        </is>
      </c>
      <c r="D50" s="32">
        <f>IMAGE("https://liskibruh.github.io/l4_data_sheets_table_images_mapper/l4_problematic_frames/xl/media/image345.png")</f>
        <v/>
      </c>
      <c r="E50" s="30" t="n"/>
      <c r="F50" s="30" t="n"/>
      <c r="G50" s="27" t="inlineStr">
        <is>
          <t>Missing static object</t>
        </is>
      </c>
    </row>
    <row r="51" ht="17" customHeight="1" s="26">
      <c r="A51" s="33" t="n"/>
      <c r="B51" s="33" t="n"/>
      <c r="C51" s="33" t="n"/>
      <c r="D51" s="33" t="n"/>
      <c r="E51" s="33" t="n"/>
      <c r="F51" s="33" t="n"/>
      <c r="G51" s="33" t="n"/>
    </row>
    <row r="52" ht="55" customHeight="1" s="26">
      <c r="A52" s="27" t="inlineStr">
        <is>
          <t>2026-03-13_03-03-32</t>
        </is>
      </c>
      <c r="B52" s="27" t="inlineStr">
        <is>
          <t>1773371188604_1773371208404</t>
        </is>
      </c>
      <c r="C52" s="27" t="inlineStr">
        <is>
          <t>1773371193805.png - 1773371194305.png</t>
        </is>
      </c>
      <c r="D52" s="32">
        <f>IMAGE("https://liskibruh.github.io/l4_data_sheets_table_images_mapper/l4_problematic_frames/xl/media/image346.png")</f>
        <v/>
      </c>
      <c r="E52" s="32">
        <f>IMAGE("https://liskibruh.github.io/l4_data_sheets_table_images_mapper/l4_problematic_frames/xl/media/image347.png")</f>
        <v/>
      </c>
      <c r="F52" s="30" t="n"/>
      <c r="G52" s="27" t="inlineStr">
        <is>
          <t>Missing static object</t>
        </is>
      </c>
    </row>
    <row r="53" ht="17" customHeight="1" s="26">
      <c r="A53" s="33" t="n"/>
      <c r="B53" s="33" t="n"/>
      <c r="C53" s="33" t="n"/>
      <c r="D53" s="33" t="n"/>
      <c r="E53" s="33" t="n"/>
      <c r="F53" s="33" t="n"/>
      <c r="G53" s="33" t="n"/>
    </row>
    <row r="54" ht="41" customHeight="1" s="26">
      <c r="A54" s="27" t="inlineStr">
        <is>
          <t>2026-03-13_03-03-32</t>
        </is>
      </c>
      <c r="B54" s="27" t="inlineStr">
        <is>
          <t>1773371188604_1773371208404</t>
        </is>
      </c>
      <c r="C54" s="27" t="inlineStr">
        <is>
          <t>1773371194904.png</t>
        </is>
      </c>
      <c r="D54" s="32">
        <f>IMAGE("https://liskibruh.github.io/l4_data_sheets_table_images_mapper/l4_problematic_frames/xl/media/image348.png")</f>
        <v/>
      </c>
      <c r="E54" s="30" t="n"/>
      <c r="F54" s="30" t="n"/>
      <c r="G54" s="27" t="inlineStr">
        <is>
          <t>Missing static object</t>
        </is>
      </c>
    </row>
    <row r="55" ht="17" customHeight="1" s="26">
      <c r="A55" s="33" t="n"/>
      <c r="B55" s="33" t="n"/>
      <c r="C55" s="33" t="n"/>
      <c r="D55" s="33" t="n"/>
      <c r="E55" s="33" t="n"/>
      <c r="F55" s="33" t="n"/>
      <c r="G55" s="33" t="n"/>
    </row>
    <row r="56" ht="55" customHeight="1" s="26">
      <c r="A56" s="27" t="inlineStr">
        <is>
          <t>2026-03-13_03-03-32</t>
        </is>
      </c>
      <c r="B56" s="27" t="inlineStr">
        <is>
          <t>1773371208604_1773371228504</t>
        </is>
      </c>
      <c r="C56" s="27" t="inlineStr">
        <is>
          <t>1773371217804.png - 1773371219905.png</t>
        </is>
      </c>
      <c r="D56" s="32">
        <f>IMAGE("https://liskibruh.github.io/l4_data_sheets_table_images_mapper/l4_problematic_frames/xl/media/image349.png")</f>
        <v/>
      </c>
      <c r="E56" s="32">
        <f>IMAGE("https://liskibruh.github.io/l4_data_sheets_table_images_mapper/l4_problematic_frames/xl/media/image350.png")</f>
        <v/>
      </c>
      <c r="F56" s="30" t="n"/>
      <c r="G56" s="27" t="inlineStr">
        <is>
          <t>Missing static object</t>
        </is>
      </c>
    </row>
    <row r="57" ht="17" customHeight="1" s="26">
      <c r="A57" s="33" t="n"/>
      <c r="B57" s="33" t="n"/>
      <c r="C57" s="33" t="n"/>
      <c r="D57" s="33" t="n"/>
      <c r="E57" s="33" t="n"/>
      <c r="F57" s="33" t="n"/>
      <c r="G57" s="33" t="n"/>
    </row>
    <row r="58" ht="41" customHeight="1" s="26">
      <c r="A58" s="27" t="inlineStr">
        <is>
          <t>2026-03-13_03-03-32</t>
        </is>
      </c>
      <c r="B58" s="27" t="inlineStr">
        <is>
          <t>1773371208604_1773371228504</t>
        </is>
      </c>
      <c r="C58" s="27" t="inlineStr">
        <is>
          <t>1773371226404.png</t>
        </is>
      </c>
      <c r="D58" s="32">
        <f>IMAGE("https://liskibruh.github.io/l4_data_sheets_table_images_mapper/l4_problematic_frames/xl/media/image351.png")</f>
        <v/>
      </c>
      <c r="E58" s="30" t="n"/>
      <c r="F58" s="30" t="n"/>
      <c r="G58" s="27" t="inlineStr">
        <is>
          <t>Missing static object</t>
        </is>
      </c>
    </row>
    <row r="59" ht="17" customHeight="1" s="26">
      <c r="A59" s="33" t="n"/>
      <c r="B59" s="33" t="n"/>
      <c r="C59" s="33" t="n"/>
      <c r="D59" s="33" t="n"/>
      <c r="E59" s="33" t="n"/>
      <c r="F59" s="33" t="n"/>
      <c r="G59" s="33" t="n"/>
    </row>
    <row r="60" ht="41" customHeight="1" s="26">
      <c r="A60" s="27" t="inlineStr">
        <is>
          <t>2026-03-13_03-03-32</t>
        </is>
      </c>
      <c r="B60" s="27" t="inlineStr">
        <is>
          <t>1773371208604_1773371228504</t>
        </is>
      </c>
      <c r="C60" s="27" t="inlineStr">
        <is>
          <t>1773371226805.png</t>
        </is>
      </c>
      <c r="D60" s="32">
        <f>IMAGE("https://liskibruh.github.io/l4_data_sheets_table_images_mapper/l4_problematic_frames/xl/media/image352.png")</f>
        <v/>
      </c>
      <c r="E60" s="30" t="n"/>
      <c r="F60" s="30" t="n"/>
      <c r="G60" s="27" t="inlineStr">
        <is>
          <t>Missing static objects</t>
        </is>
      </c>
    </row>
    <row r="61" ht="17" customHeight="1" s="26">
      <c r="A61" s="33" t="n"/>
      <c r="B61" s="33" t="n"/>
      <c r="C61" s="33" t="n"/>
      <c r="D61" s="33" t="n"/>
      <c r="E61" s="33" t="n"/>
      <c r="F61" s="33" t="n"/>
      <c r="G61" s="33" t="n"/>
    </row>
    <row r="62" ht="55" customHeight="1" s="26">
      <c r="A62" s="27" t="inlineStr">
        <is>
          <t>2026-03-13_03-03-32</t>
        </is>
      </c>
      <c r="B62" s="27" t="inlineStr">
        <is>
          <t>1773371208604_1773371228504</t>
        </is>
      </c>
      <c r="C62" s="27" t="inlineStr">
        <is>
          <t>1773371232604.png - 1773371233204.png</t>
        </is>
      </c>
      <c r="D62" s="32">
        <f>IMAGE("https://liskibruh.github.io/l4_data_sheets_table_images_mapper/l4_problematic_frames/xl/media/image353.png")</f>
        <v/>
      </c>
      <c r="E62" s="32">
        <f>IMAGE("https://liskibruh.github.io/l4_data_sheets_table_images_mapper/l4_problematic_frames/xl/media/image354.png")</f>
        <v/>
      </c>
      <c r="F62" s="30" t="n"/>
      <c r="G62" s="27" t="inlineStr">
        <is>
          <t>Missing truck</t>
        </is>
      </c>
    </row>
    <row r="63" ht="17" customHeight="1" s="26">
      <c r="A63" s="33" t="n"/>
      <c r="B63" s="33" t="n"/>
      <c r="C63" s="33" t="n"/>
      <c r="D63" s="33" t="n"/>
      <c r="E63" s="33" t="n"/>
      <c r="F63" s="33" t="n"/>
      <c r="G63" s="33" t="n"/>
    </row>
    <row r="64" ht="41" customHeight="1" s="26">
      <c r="A64" s="27" t="inlineStr">
        <is>
          <t>2026-03-13_03-03-32</t>
        </is>
      </c>
      <c r="B64" s="27" t="inlineStr">
        <is>
          <t>1773371228604_1773371248505</t>
        </is>
      </c>
      <c r="C64" s="27" t="inlineStr">
        <is>
          <t>1773371234104.png</t>
        </is>
      </c>
      <c r="D64" s="32">
        <f>IMAGE("https://liskibruh.github.io/l4_data_sheets_table_images_mapper/l4_problematic_frames/xl/media/image355.png")</f>
        <v/>
      </c>
      <c r="E64" s="30" t="n"/>
      <c r="F64" s="30" t="n"/>
      <c r="G64" s="27" t="inlineStr">
        <is>
          <t>Missing static objects</t>
        </is>
      </c>
    </row>
    <row r="65" ht="17" customHeight="1" s="26">
      <c r="A65" s="33" t="n"/>
      <c r="B65" s="33" t="n"/>
      <c r="C65" s="33" t="n"/>
      <c r="D65" s="33" t="n"/>
      <c r="E65" s="33" t="n"/>
      <c r="F65" s="33" t="n"/>
      <c r="G65" s="33" t="n"/>
    </row>
    <row r="66" ht="55" customHeight="1" s="26">
      <c r="A66" s="27" t="inlineStr">
        <is>
          <t>2026-03-13_03-03-32</t>
        </is>
      </c>
      <c r="B66" s="27" t="inlineStr">
        <is>
          <t>1773371208604_1773371228504</t>
        </is>
      </c>
      <c r="C66" s="27" t="inlineStr">
        <is>
          <t>1773371233304.png - 1773371234405.png</t>
        </is>
      </c>
      <c r="D66" s="32">
        <f>IMAGE("https://liskibruh.github.io/l4_data_sheets_table_images_mapper/l4_problematic_frames/xl/media/image356.png")</f>
        <v/>
      </c>
      <c r="E66" s="32">
        <f>IMAGE("https://liskibruh.github.io/l4_data_sheets_table_images_mapper/l4_problematic_frames/xl/media/image357.png")</f>
        <v/>
      </c>
      <c r="F66" s="30" t="n"/>
      <c r="G66" s="27" t="inlineStr">
        <is>
          <t>Missing truck</t>
        </is>
      </c>
    </row>
    <row r="67" ht="17" customHeight="1" s="26">
      <c r="A67" s="33" t="n"/>
      <c r="B67" s="33" t="n"/>
      <c r="C67" s="33" t="n"/>
      <c r="D67" s="33" t="n"/>
      <c r="E67" s="33" t="n"/>
      <c r="F67" s="33" t="n"/>
      <c r="G67" s="33" t="n"/>
    </row>
    <row r="68" ht="55" customHeight="1" s="26">
      <c r="A68" s="27" t="inlineStr">
        <is>
          <t>2026-03-13_03-03-32</t>
        </is>
      </c>
      <c r="B68" s="27" t="inlineStr">
        <is>
          <t>1773371228604_1773371248505</t>
        </is>
      </c>
      <c r="C68" s="27" t="inlineStr">
        <is>
          <t>1773371239005.png - 1773371239804.png</t>
        </is>
      </c>
      <c r="D68" s="32">
        <f>IMAGE("https://liskibruh.github.io/l4_data_sheets_table_images_mapper/l4_problematic_frames/xl/media/image358.png")</f>
        <v/>
      </c>
      <c r="E68" s="32">
        <f>IMAGE("https://liskibruh.github.io/l4_data_sheets_table_images_mapper/l4_problematic_frames/xl/media/image359.png")</f>
        <v/>
      </c>
      <c r="F68" s="30" t="n"/>
      <c r="G68" s="27" t="inlineStr">
        <is>
          <t>Missing static object</t>
        </is>
      </c>
    </row>
    <row r="69" ht="17" customHeight="1" s="26">
      <c r="A69" s="33" t="n"/>
      <c r="B69" s="33" t="n"/>
      <c r="C69" s="33" t="n"/>
      <c r="D69" s="33" t="n"/>
      <c r="E69" s="33" t="n"/>
      <c r="F69" s="33" t="n"/>
      <c r="G69" s="33" t="n"/>
    </row>
    <row r="70" ht="55" customHeight="1" s="26">
      <c r="A70" s="27" t="inlineStr">
        <is>
          <t>2026-03-13_03-03-32</t>
        </is>
      </c>
      <c r="B70" s="27" t="inlineStr">
        <is>
          <t>1773371248604_1773371268603</t>
        </is>
      </c>
      <c r="C70" s="27" t="inlineStr">
        <is>
          <t>1773371260705.png - 1773371261505.png</t>
        </is>
      </c>
      <c r="D70" s="32">
        <f>IMAGE("https://liskibruh.github.io/l4_data_sheets_table_images_mapper/l4_problematic_frames/xl/media/image360.png")</f>
        <v/>
      </c>
      <c r="E70" s="32">
        <f>IMAGE("https://liskibruh.github.io/l4_data_sheets_table_images_mapper/l4_problematic_frames/xl/media/image361.png")</f>
        <v/>
      </c>
      <c r="F70" s="30" t="n"/>
      <c r="G70" s="27" t="inlineStr">
        <is>
          <t>Missclassification of static objects as car</t>
        </is>
      </c>
    </row>
    <row r="71" ht="17" customHeight="1" s="26">
      <c r="A71" s="33" t="n"/>
      <c r="B71" s="33" t="n"/>
      <c r="C71" s="33" t="n"/>
      <c r="D71" s="33" t="n"/>
      <c r="E71" s="33" t="n"/>
      <c r="F71" s="33" t="n"/>
      <c r="G71" s="33" t="n"/>
    </row>
    <row r="72" ht="41" customHeight="1" s="26">
      <c r="A72" s="27" t="inlineStr">
        <is>
          <t>2026-03-13_03-03-32</t>
        </is>
      </c>
      <c r="B72" s="27" t="inlineStr">
        <is>
          <t>1773371248604_1773371268603</t>
        </is>
      </c>
      <c r="C72" s="27" t="inlineStr">
        <is>
          <t>1773371261705.png</t>
        </is>
      </c>
      <c r="D72" s="32">
        <f>IMAGE("https://liskibruh.github.io/l4_data_sheets_table_images_mapper/l4_problematic_frames/xl/media/image362.png")</f>
        <v/>
      </c>
      <c r="E72" s="30" t="n"/>
      <c r="F72" s="30" t="n"/>
      <c r="G72" s="27" t="inlineStr">
        <is>
          <t>Missing static object</t>
        </is>
      </c>
    </row>
    <row r="73" ht="17" customHeight="1" s="26">
      <c r="A73" s="33" t="n"/>
      <c r="B73" s="33" t="n"/>
      <c r="C73" s="33" t="n"/>
      <c r="D73" s="33" t="n"/>
      <c r="E73" s="33" t="n"/>
      <c r="F73" s="33" t="n"/>
      <c r="G73" s="33" t="n"/>
    </row>
    <row r="74" ht="55" customHeight="1" s="26">
      <c r="A74" s="27" t="inlineStr">
        <is>
          <t>2026-03-13_03-03-32</t>
        </is>
      </c>
      <c r="B74" s="27" t="inlineStr">
        <is>
          <t>1773371248604_1773371268603</t>
        </is>
      </c>
      <c r="C74" s="27" t="inlineStr">
        <is>
          <t>1773371263704.png - 1773371264805.png</t>
        </is>
      </c>
      <c r="D74" s="32">
        <f>IMAGE("https://liskibruh.github.io/l4_data_sheets_table_images_mapper/l4_problematic_frames/xl/media/image363.png")</f>
        <v/>
      </c>
      <c r="E74" s="32">
        <f>IMAGE("https://liskibruh.github.io/l4_data_sheets_table_images_mapper/l4_problematic_frames/xl/media/image364.png")</f>
        <v/>
      </c>
      <c r="F74" s="30" t="n"/>
      <c r="G74" s="27" t="inlineStr">
        <is>
          <t>Missing static object</t>
        </is>
      </c>
    </row>
    <row r="75" ht="17" customHeight="1" s="26">
      <c r="A75" s="33" t="n"/>
      <c r="B75" s="33" t="n"/>
      <c r="C75" s="33" t="n"/>
      <c r="D75" s="33" t="n"/>
      <c r="E75" s="33" t="n"/>
      <c r="F75" s="33" t="n"/>
      <c r="G75" s="33" t="n"/>
    </row>
    <row r="76" ht="55" customHeight="1" s="26">
      <c r="A76" s="27" t="inlineStr">
        <is>
          <t>2026-03-13_03-03-32</t>
        </is>
      </c>
      <c r="B76" s="27" t="inlineStr">
        <is>
          <t>1773371268605_1773371288603</t>
        </is>
      </c>
      <c r="C76" s="27" t="inlineStr">
        <is>
          <t>1773371288004.png - 1773371288405.png</t>
        </is>
      </c>
      <c r="D76" s="32">
        <f>IMAGE("https://liskibruh.github.io/l4_data_sheets_table_images_mapper/l4_problematic_frames/xl/media/image365.png")</f>
        <v/>
      </c>
      <c r="E76" s="32">
        <f>IMAGE("https://liskibruh.github.io/l4_data_sheets_table_images_mapper/l4_problematic_frames/xl/media/image366.png")</f>
        <v/>
      </c>
      <c r="F76" s="30" t="n"/>
      <c r="G76" s="27" t="inlineStr">
        <is>
          <t>Missclassification of pedestrians as static object</t>
        </is>
      </c>
    </row>
    <row r="77" ht="17" customHeight="1" s="26">
      <c r="A77" s="33" t="n"/>
      <c r="B77" s="33" t="n"/>
      <c r="C77" s="33" t="n"/>
      <c r="D77" s="33" t="n"/>
      <c r="E77" s="33" t="n"/>
      <c r="F77" s="33" t="n"/>
      <c r="G77" s="33" t="n"/>
    </row>
    <row r="78" ht="55" customHeight="1" s="26">
      <c r="A78" s="27" t="inlineStr">
        <is>
          <t>2026-03-13_03-03-32</t>
        </is>
      </c>
      <c r="B78" s="27" t="inlineStr">
        <is>
          <t>1773371268605_1773371288603</t>
        </is>
      </c>
      <c r="C78" s="27" t="inlineStr">
        <is>
          <t>1773371289604.png - 1773371290504.png</t>
        </is>
      </c>
      <c r="D78" s="32">
        <f>IMAGE("https://liskibruh.github.io/l4_data_sheets_table_images_mapper/l4_problematic_frames/xl/media/image367.png")</f>
        <v/>
      </c>
      <c r="E78" s="32">
        <f>IMAGE("https://liskibruh.github.io/l4_data_sheets_table_images_mapper/l4_problematic_frames/xl/media/image368.png")</f>
        <v/>
      </c>
      <c r="F78" s="30" t="n"/>
      <c r="G78" s="27" t="inlineStr">
        <is>
          <t>Missclassification of static object as pedestrian</t>
        </is>
      </c>
    </row>
    <row r="79" ht="17" customHeight="1" s="26">
      <c r="A79" s="33" t="n"/>
      <c r="B79" s="33" t="n"/>
      <c r="C79" s="33" t="n"/>
      <c r="D79" s="33" t="n"/>
      <c r="E79" s="33" t="n"/>
      <c r="F79" s="33" t="n"/>
      <c r="G79" s="33" t="n"/>
    </row>
    <row r="80" ht="55" customHeight="1" s="26">
      <c r="A80" s="27" t="inlineStr">
        <is>
          <t>2026-03-13_03-03-32</t>
        </is>
      </c>
      <c r="B80" s="27" t="inlineStr">
        <is>
          <t>1773371288605_1773371308604</t>
        </is>
      </c>
      <c r="C80" s="27" t="inlineStr">
        <is>
          <t>1773371301705.png - 1773371302605.png</t>
        </is>
      </c>
      <c r="D80" s="32">
        <f>IMAGE("https://liskibruh.github.io/l4_data_sheets_table_images_mapper/l4_problematic_frames/xl/media/image369.png")</f>
        <v/>
      </c>
      <c r="E80" s="32">
        <f>IMAGE("https://liskibruh.github.io/l4_data_sheets_table_images_mapper/l4_problematic_frames/xl/media/image370.png")</f>
        <v/>
      </c>
      <c r="F80" s="30" t="n"/>
      <c r="G80" s="27" t="inlineStr">
        <is>
          <t>Missing truck detection</t>
        </is>
      </c>
    </row>
    <row r="81" ht="17" customHeight="1" s="26">
      <c r="A81" s="33" t="n"/>
      <c r="B81" s="33" t="n"/>
      <c r="C81" s="33" t="n"/>
      <c r="D81" s="33" t="n"/>
      <c r="E81" s="33" t="n"/>
      <c r="F81" s="33" t="n"/>
      <c r="G81" s="33" t="n"/>
    </row>
    <row r="82" ht="41" customHeight="1" s="26">
      <c r="A82" s="27" t="inlineStr">
        <is>
          <t>2026-03-13_03-03-32</t>
        </is>
      </c>
      <c r="B82" s="27" t="inlineStr">
        <is>
          <t>1773371288605_1773371308604</t>
        </is>
      </c>
      <c r="C82" s="27" t="inlineStr">
        <is>
          <t>1773371302904.png</t>
        </is>
      </c>
      <c r="D82" s="32">
        <f>IMAGE("https://liskibruh.github.io/l4_data_sheets_table_images_mapper/l4_problematic_frames/xl/media/image371.png")</f>
        <v/>
      </c>
      <c r="E82" s="30" t="n"/>
      <c r="F82" s="30" t="n"/>
      <c r="G82" s="27" t="inlineStr">
        <is>
          <t>Missing truck detection</t>
        </is>
      </c>
    </row>
    <row r="83" ht="17" customHeight="1" s="26">
      <c r="A83" s="33" t="n"/>
      <c r="B83" s="33" t="n"/>
      <c r="C83" s="33" t="n"/>
      <c r="D83" s="33" t="n"/>
      <c r="E83" s="33" t="n"/>
      <c r="F83" s="33" t="n"/>
      <c r="G83" s="33" t="n"/>
    </row>
    <row r="84" ht="55" customHeight="1" s="26">
      <c r="A84" s="27" t="inlineStr">
        <is>
          <t>2026-03-13_03-03-32</t>
        </is>
      </c>
      <c r="B84" s="27" t="inlineStr">
        <is>
          <t>1773371288605_1773371308604</t>
        </is>
      </c>
      <c r="C84" s="27" t="inlineStr">
        <is>
          <t>1773371303704.png - 1773371304704.png</t>
        </is>
      </c>
      <c r="D84" s="32">
        <f>IMAGE("https://liskibruh.github.io/l4_data_sheets_table_images_mapper/l4_problematic_frames/xl/media/image372.png")</f>
        <v/>
      </c>
      <c r="E84" s="32">
        <f>IMAGE("https://liskibruh.github.io/l4_data_sheets_table_images_mapper/l4_problematic_frames/xl/media/image373.png")</f>
        <v/>
      </c>
      <c r="F84" s="30" t="n"/>
      <c r="G84" s="27" t="inlineStr">
        <is>
          <t>Missclassification of truck as static object</t>
        </is>
      </c>
    </row>
    <row r="85" ht="17" customHeight="1" s="26">
      <c r="A85" s="33" t="n"/>
      <c r="B85" s="33" t="n"/>
      <c r="C85" s="33" t="n"/>
      <c r="D85" s="33" t="n"/>
      <c r="E85" s="33" t="n"/>
      <c r="F85" s="33" t="n"/>
      <c r="G85" s="33" t="n"/>
    </row>
    <row r="86" ht="55" customHeight="1" s="26">
      <c r="A86" s="27" t="inlineStr">
        <is>
          <t>2026-03-13_03-03-32</t>
        </is>
      </c>
      <c r="B86" s="27" t="inlineStr">
        <is>
          <t>1773371288605_1773371308604</t>
        </is>
      </c>
      <c r="C86" s="27" t="inlineStr">
        <is>
          <t>1773371305905.png - 1773371306804.png</t>
        </is>
      </c>
      <c r="D86" s="32">
        <f>IMAGE("https://liskibruh.github.io/l4_data_sheets_table_images_mapper/l4_problematic_frames/xl/media/image374.png")</f>
        <v/>
      </c>
      <c r="E86" s="32">
        <f>IMAGE("https://liskibruh.github.io/l4_data_sheets_table_images_mapper/l4_problematic_frames/xl/media/image375.png")</f>
        <v/>
      </c>
      <c r="F86" s="30" t="n"/>
      <c r="G86" s="27" t="inlineStr">
        <is>
          <t>Pedestrian misclassified as static object</t>
        </is>
      </c>
    </row>
    <row r="87" ht="17" customHeight="1" s="26">
      <c r="A87" s="33" t="n"/>
      <c r="B87" s="33" t="n"/>
      <c r="C87" s="33" t="n"/>
      <c r="D87" s="33" t="n"/>
      <c r="E87" s="33" t="n"/>
      <c r="F87" s="33" t="n"/>
      <c r="G87" s="33" t="n"/>
    </row>
    <row r="88" ht="55" customHeight="1" s="26">
      <c r="A88" s="27" t="inlineStr">
        <is>
          <t>2026-03-13_03-03-32</t>
        </is>
      </c>
      <c r="B88" s="27" t="inlineStr">
        <is>
          <t>1773371288605_1773371308604</t>
        </is>
      </c>
      <c r="C88" s="27" t="inlineStr">
        <is>
          <t>1773371308004.png - 1773371308604.png</t>
        </is>
      </c>
      <c r="D88" s="32">
        <f>IMAGE("https://liskibruh.github.io/l4_data_sheets_table_images_mapper/l4_problematic_frames/xl/media/image376.png")</f>
        <v/>
      </c>
      <c r="E88" s="32">
        <f>IMAGE("https://liskibruh.github.io/l4_data_sheets_table_images_mapper/l4_problematic_frames/xl/media/image377.png")</f>
        <v/>
      </c>
      <c r="F88" s="30" t="n"/>
      <c r="G88" s="27" t="inlineStr">
        <is>
          <t>Missing truck detection</t>
        </is>
      </c>
    </row>
    <row r="89" ht="17" customHeight="1" s="26">
      <c r="A89" s="33" t="n"/>
      <c r="B89" s="33" t="n"/>
      <c r="C89" s="33" t="n"/>
      <c r="D89" s="33" t="n"/>
      <c r="E89" s="33" t="n"/>
      <c r="F89" s="33" t="n"/>
      <c r="G89" s="33" t="n"/>
    </row>
    <row r="90" ht="55" customHeight="1" s="26">
      <c r="A90" s="27" t="inlineStr">
        <is>
          <t>2026-03-13_03-03-32</t>
        </is>
      </c>
      <c r="B90" s="27" t="inlineStr">
        <is>
          <t>1773371308704_1773371328605</t>
        </is>
      </c>
      <c r="C90" s="27" t="inlineStr">
        <is>
          <t>1773371321405.png - 1773371322404.png</t>
        </is>
      </c>
      <c r="D90" s="32">
        <f>IMAGE("https://liskibruh.github.io/l4_data_sheets_table_images_mapper/l4_problematic_frames/xl/media/image378.png")</f>
        <v/>
      </c>
      <c r="E90" s="32">
        <f>IMAGE("https://liskibruh.github.io/l4_data_sheets_table_images_mapper/l4_problematic_frames/xl/media/image379.png")</f>
        <v/>
      </c>
      <c r="F90" s="30" t="n"/>
      <c r="G90" s="27" t="inlineStr">
        <is>
          <t>Missclassification of truck as car</t>
        </is>
      </c>
    </row>
    <row r="91" ht="17" customHeight="1" s="26">
      <c r="A91" s="33" t="n"/>
      <c r="B91" s="33" t="n"/>
      <c r="C91" s="33" t="n"/>
      <c r="D91" s="33" t="n"/>
      <c r="E91" s="33" t="n"/>
      <c r="F91" s="33" t="n"/>
      <c r="G91" s="33" t="n"/>
    </row>
    <row r="92" ht="55" customHeight="1" s="26">
      <c r="A92" s="27" t="inlineStr">
        <is>
          <t>2026-03-13_03-03-32</t>
        </is>
      </c>
      <c r="B92" s="27" t="inlineStr">
        <is>
          <t>1773371308704_1773371328605</t>
        </is>
      </c>
      <c r="C92" s="27" t="inlineStr">
        <is>
          <t>1773371333204.png - 1773371335204.png</t>
        </is>
      </c>
      <c r="D92" s="32">
        <f>IMAGE("https://liskibruh.github.io/l4_data_sheets_table_images_mapper/l4_problematic_frames/xl/media/image380.png")</f>
        <v/>
      </c>
      <c r="E92" s="32">
        <f>IMAGE("https://liskibruh.github.io/l4_data_sheets_table_images_mapper/l4_problematic_frames/xl/media/image381.png")</f>
        <v/>
      </c>
      <c r="F92" s="30" t="n"/>
      <c r="G92" s="27" t="inlineStr">
        <is>
          <t>Multiple detections missing</t>
        </is>
      </c>
    </row>
    <row r="93" ht="17" customHeight="1" s="26">
      <c r="A93" s="33" t="n"/>
      <c r="B93" s="33" t="n"/>
      <c r="C93" s="33" t="n"/>
      <c r="D93" s="33" t="n"/>
      <c r="E93" s="33" t="n"/>
      <c r="F93" s="33" t="n"/>
      <c r="G93" s="33" t="n"/>
    </row>
    <row r="94" ht="41" customHeight="1" s="26">
      <c r="A94" s="27" t="inlineStr">
        <is>
          <t>2026-03-13_03-03-32</t>
        </is>
      </c>
      <c r="B94" s="27" t="inlineStr">
        <is>
          <t>1773371328704_1773371348604</t>
        </is>
      </c>
      <c r="C94" s="27" t="inlineStr">
        <is>
          <t>1773371335505.png</t>
        </is>
      </c>
      <c r="D94" s="32">
        <f>IMAGE("https://liskibruh.github.io/l4_data_sheets_table_images_mapper/l4_problematic_frames/xl/media/image382.png")</f>
        <v/>
      </c>
      <c r="E94" s="30" t="n"/>
      <c r="F94" s="30" t="n"/>
      <c r="G94" s="27" t="inlineStr">
        <is>
          <t>Missing static object</t>
        </is>
      </c>
    </row>
    <row r="95" ht="17" customHeight="1" s="26">
      <c r="A95" s="33" t="n"/>
      <c r="B95" s="33" t="n"/>
      <c r="C95" s="33" t="n"/>
      <c r="D95" s="33" t="n"/>
      <c r="E95" s="33" t="n"/>
      <c r="F95" s="33" t="n"/>
      <c r="G95" s="33" t="n"/>
    </row>
    <row r="96" ht="55" customHeight="1" s="26">
      <c r="A96" s="27" t="inlineStr">
        <is>
          <t>2026-03-13_03-03-32</t>
        </is>
      </c>
      <c r="B96" s="27" t="inlineStr">
        <is>
          <t>1773371328704_1773371348604</t>
        </is>
      </c>
      <c r="C96" s="27" t="inlineStr">
        <is>
          <t>1773371335904.png - 1773371336205.png</t>
        </is>
      </c>
      <c r="D96" s="32">
        <f>IMAGE("https://liskibruh.github.io/l4_data_sheets_table_images_mapper/l4_problematic_frames/xl/media/image383.png")</f>
        <v/>
      </c>
      <c r="E96" s="32">
        <f>IMAGE("https://liskibruh.github.io/l4_data_sheets_table_images_mapper/l4_problematic_frames/xl/media/image384.png")</f>
        <v/>
      </c>
      <c r="F96" s="30" t="n"/>
      <c r="G96" s="27" t="inlineStr">
        <is>
          <t>Missing static object</t>
        </is>
      </c>
    </row>
    <row r="97" ht="17" customHeight="1" s="26">
      <c r="A97" s="33" t="n"/>
      <c r="B97" s="33" t="n"/>
      <c r="C97" s="33" t="n"/>
      <c r="D97" s="33" t="n"/>
      <c r="E97" s="33" t="n"/>
      <c r="F97" s="33" t="n"/>
      <c r="G97" s="33" t="n"/>
    </row>
    <row r="98" ht="41" customHeight="1" s="26">
      <c r="A98" s="27" t="inlineStr">
        <is>
          <t>2026-03-13_03-03-32</t>
        </is>
      </c>
      <c r="B98" s="27" t="inlineStr">
        <is>
          <t>1773371328704_1773371348604</t>
        </is>
      </c>
      <c r="C98" s="27" t="inlineStr">
        <is>
          <t>1773371336305.png- 1773371337404.png</t>
        </is>
      </c>
      <c r="D98" s="32">
        <f>IMAGE("https://liskibruh.github.io/l4_data_sheets_table_images_mapper/l4_problematic_frames/xl/media/image385.png")</f>
        <v/>
      </c>
      <c r="E98" s="32">
        <f>IMAGE("https://liskibruh.github.io/l4_data_sheets_table_images_mapper/l4_problematic_frames/xl/media/image386.png")</f>
        <v/>
      </c>
      <c r="F98" s="30" t="n"/>
      <c r="G98" s="27" t="inlineStr">
        <is>
          <t>Missing static object</t>
        </is>
      </c>
    </row>
    <row r="99" ht="17" customHeight="1" s="26">
      <c r="A99" s="33" t="n"/>
      <c r="B99" s="33" t="n"/>
      <c r="C99" s="33" t="n"/>
      <c r="D99" s="33" t="n"/>
      <c r="E99" s="33" t="n"/>
      <c r="F99" s="33" t="n"/>
      <c r="G99" s="33" t="n"/>
    </row>
    <row r="100" ht="84" customHeight="1" s="26">
      <c r="A100" s="27" t="inlineStr">
        <is>
          <t>2026-03-13_03-03-32</t>
        </is>
      </c>
      <c r="B100" s="27" t="inlineStr">
        <is>
          <t>1773371328704_1773371348604</t>
        </is>
      </c>
      <c r="C100" s="27" t="inlineStr">
        <is>
          <t>1773371339605.png - 1773371341704.png</t>
        </is>
      </c>
      <c r="D100" s="32">
        <f>IMAGE("https://liskibruh.github.io/l4_data_sheets_table_images_mapper/l4_problematic_frames/xl/media/image387.png")</f>
        <v/>
      </c>
      <c r="E100" s="32">
        <f>IMAGE("https://liskibruh.github.io/l4_data_sheets_table_images_mapper/l4_problematic_frames/xl/media/image388.png")</f>
        <v/>
      </c>
      <c r="F100" s="30" t="n"/>
      <c r="G100" s="27" t="inlineStr">
        <is>
          <t>Wrong truck orientation and missed truck detections</t>
        </is>
      </c>
    </row>
    <row r="101" ht="17" customHeight="1" s="26">
      <c r="A101" s="33" t="n"/>
      <c r="B101" s="33" t="n"/>
      <c r="C101" s="33" t="n"/>
      <c r="D101" s="33" t="n"/>
      <c r="E101" s="33" t="n"/>
      <c r="F101" s="33" t="n"/>
      <c r="G101" s="33" t="n"/>
    </row>
    <row r="102" ht="55" customHeight="1" s="26">
      <c r="A102" s="27" t="inlineStr">
        <is>
          <t>2026-03-13_03-03-32</t>
        </is>
      </c>
      <c r="B102" s="27" t="inlineStr">
        <is>
          <t>1773371328704_1773371348604</t>
        </is>
      </c>
      <c r="C102" s="27" t="inlineStr">
        <is>
          <t>1773371344005.png - 1773371344904.png</t>
        </is>
      </c>
      <c r="D102" s="32">
        <f>IMAGE("https://liskibruh.github.io/l4_data_sheets_table_images_mapper/l4_problematic_frames/xl/media/image389.png")</f>
        <v/>
      </c>
      <c r="E102" s="32">
        <f>IMAGE("https://liskibruh.github.io/l4_data_sheets_table_images_mapper/l4_problematic_frames/xl/media/image390.png")</f>
        <v/>
      </c>
      <c r="F102" s="30" t="n"/>
      <c r="G102" s="27" t="inlineStr">
        <is>
          <t>Missed truck detections</t>
        </is>
      </c>
    </row>
    <row r="103" ht="17" customHeight="1" s="26">
      <c r="A103" s="33" t="n"/>
      <c r="B103" s="33" t="n"/>
      <c r="C103" s="33" t="n"/>
      <c r="D103" s="33" t="n"/>
      <c r="E103" s="33" t="n"/>
      <c r="F103" s="33" t="n"/>
      <c r="G103" s="33" t="n"/>
    </row>
    <row r="104" ht="55" customHeight="1" s="26">
      <c r="A104" s="27" t="inlineStr">
        <is>
          <t>2026-03-13_03-03-32</t>
        </is>
      </c>
      <c r="B104" s="27" t="inlineStr">
        <is>
          <t>1773371328704_1773371348604</t>
        </is>
      </c>
      <c r="C104" s="27" t="inlineStr">
        <is>
          <t>1773371349705.png - 1773371350904.png</t>
        </is>
      </c>
      <c r="D104" s="32">
        <f>IMAGE("https://liskibruh.github.io/l4_data_sheets_table_images_mapper/l4_problematic_frames/xl/media/image391.png")</f>
        <v/>
      </c>
      <c r="E104" s="32">
        <f>IMAGE("https://liskibruh.github.io/l4_data_sheets_table_images_mapper/l4_problematic_frames/xl/media/image392.png")</f>
        <v/>
      </c>
      <c r="F104" s="30" t="n"/>
      <c r="G104" s="27" t="inlineStr">
        <is>
          <t>Missed truck detection</t>
        </is>
      </c>
    </row>
    <row r="105" ht="17" customHeight="1" s="26">
      <c r="A105" s="33" t="n"/>
      <c r="B105" s="33" t="n"/>
      <c r="C105" s="33" t="n"/>
      <c r="D105" s="33" t="n"/>
      <c r="E105" s="33" t="n"/>
      <c r="F105" s="33" t="n"/>
      <c r="G105" s="33" t="n"/>
    </row>
    <row r="106" ht="55" customHeight="1" s="26">
      <c r="A106" s="27" t="inlineStr">
        <is>
          <t>2026-03-13_03-03-32</t>
        </is>
      </c>
      <c r="B106" s="27" t="inlineStr">
        <is>
          <t>1773371328704_1773371348604</t>
        </is>
      </c>
      <c r="C106" s="27" t="inlineStr">
        <is>
          <t>1773371351804.png - 1773371353905.png</t>
        </is>
      </c>
      <c r="D106" s="32">
        <f>IMAGE("https://liskibruh.github.io/l4_data_sheets_table_images_mapper/l4_problematic_frames/xl/media/image393.png")</f>
        <v/>
      </c>
      <c r="E106" s="32">
        <f>IMAGE("https://liskibruh.github.io/l4_data_sheets_table_images_mapper/l4_problematic_frames/xl/media/image394.png")</f>
        <v/>
      </c>
      <c r="F106" s="30" t="n"/>
      <c r="G106" s="27" t="inlineStr">
        <is>
          <t>Missing truck detection</t>
        </is>
      </c>
    </row>
    <row r="107" ht="17" customHeight="1" s="26">
      <c r="A107" s="33" t="n"/>
      <c r="B107" s="33" t="n"/>
      <c r="C107" s="33" t="n"/>
      <c r="D107" s="33" t="n"/>
      <c r="E107" s="33" t="n"/>
      <c r="F107" s="33" t="n"/>
      <c r="G107" s="33" t="n"/>
    </row>
    <row r="108" ht="55" customHeight="1" s="26">
      <c r="A108" s="27" t="inlineStr">
        <is>
          <t>2026-03-13_03-03-32</t>
        </is>
      </c>
      <c r="B108" s="27" t="inlineStr">
        <is>
          <t>1773371348704_1773371368605</t>
        </is>
      </c>
      <c r="C108" s="27" t="inlineStr">
        <is>
          <t>1773371354005.png - 1773371355005.png</t>
        </is>
      </c>
      <c r="D108" s="32">
        <f>IMAGE("https://liskibruh.github.io/l4_data_sheets_table_images_mapper/l4_problematic_frames/xl/media/image395.png")</f>
        <v/>
      </c>
      <c r="E108" s="32">
        <f>IMAGE("https://liskibruh.github.io/l4_data_sheets_table_images_mapper/l4_problematic_frames/xl/media/image396.png")</f>
        <v/>
      </c>
      <c r="F108" s="30" t="n"/>
      <c r="G108" s="27" t="inlineStr">
        <is>
          <t>Missing truck detection</t>
        </is>
      </c>
    </row>
    <row r="109" ht="17" customHeight="1" s="26">
      <c r="A109" s="33" t="n"/>
      <c r="B109" s="33" t="n"/>
      <c r="C109" s="33" t="n"/>
      <c r="D109" s="33" t="n"/>
      <c r="E109" s="33" t="n"/>
      <c r="F109" s="33" t="n"/>
      <c r="G109" s="33" t="n"/>
    </row>
    <row r="110" ht="55" customHeight="1" s="26">
      <c r="A110" s="27" t="inlineStr">
        <is>
          <t>2026-03-13_03-03-32</t>
        </is>
      </c>
      <c r="B110" s="27" t="inlineStr">
        <is>
          <t>1773371348704_1773371368605</t>
        </is>
      </c>
      <c r="C110" s="27" t="inlineStr">
        <is>
          <t>1773371357305.png - 1773371358305.png</t>
        </is>
      </c>
      <c r="D110" s="32">
        <f>IMAGE("https://liskibruh.github.io/l4_data_sheets_table_images_mapper/l4_problematic_frames/xl/media/image397.png")</f>
        <v/>
      </c>
      <c r="E110" s="32">
        <f>IMAGE("https://liskibruh.github.io/l4_data_sheets_table_images_mapper/l4_problematic_frames/xl/media/image398.png")</f>
        <v/>
      </c>
      <c r="F110" s="30" t="n"/>
      <c r="G110" s="27" t="inlineStr">
        <is>
          <t>Missing truck detection</t>
        </is>
      </c>
    </row>
    <row r="111" ht="17" customHeight="1" s="26">
      <c r="A111" s="33" t="n"/>
      <c r="B111" s="33" t="n"/>
      <c r="C111" s="33" t="n"/>
      <c r="D111" s="33" t="n"/>
      <c r="E111" s="33" t="n"/>
      <c r="F111" s="33" t="n"/>
      <c r="G111" s="33" t="n"/>
    </row>
    <row r="112" ht="41" customHeight="1" s="26">
      <c r="A112" s="27" t="inlineStr">
        <is>
          <t>2026-03-13_03-03-32</t>
        </is>
      </c>
      <c r="B112" s="27" t="inlineStr">
        <is>
          <t>1773371348704_1773371368605</t>
        </is>
      </c>
      <c r="C112" s="27" t="inlineStr">
        <is>
          <t>1773371359704.png</t>
        </is>
      </c>
      <c r="D112" s="32">
        <f>IMAGE("https://liskibruh.github.io/l4_data_sheets_table_images_mapper/l4_problematic_frames/xl/media/image399.png")</f>
        <v/>
      </c>
      <c r="E112" s="30" t="n"/>
      <c r="F112" s="30" t="n"/>
      <c r="G112" s="27" t="inlineStr">
        <is>
          <t>Missing truck detection</t>
        </is>
      </c>
    </row>
    <row r="113" ht="17" customHeight="1" s="26">
      <c r="A113" s="33" t="n"/>
      <c r="B113" s="33" t="n"/>
      <c r="C113" s="33" t="n"/>
      <c r="D113" s="33" t="n"/>
      <c r="E113" s="33" t="n"/>
      <c r="F113" s="33" t="n"/>
      <c r="G113" s="33" t="n"/>
    </row>
    <row r="114" ht="41" customHeight="1" s="26">
      <c r="A114" s="27" t="inlineStr">
        <is>
          <t>2026-03-13_03-03-32</t>
        </is>
      </c>
      <c r="B114" s="27" t="inlineStr">
        <is>
          <t>1773371348704_1773371368605</t>
        </is>
      </c>
      <c r="C114" s="27" t="inlineStr">
        <is>
          <t>1773371364104.png</t>
        </is>
      </c>
      <c r="D114" s="32">
        <f>IMAGE("https://liskibruh.github.io/l4_data_sheets_table_images_mapper/l4_problematic_frames/xl/media/image400.png")</f>
        <v/>
      </c>
      <c r="E114" s="30" t="n"/>
      <c r="F114" s="30" t="n"/>
      <c r="G114" s="27" t="inlineStr">
        <is>
          <t>Missing truck detection</t>
        </is>
      </c>
    </row>
    <row r="115" ht="17" customHeight="1" s="26">
      <c r="A115" s="33" t="n"/>
      <c r="B115" s="33" t="n"/>
      <c r="C115" s="33" t="n"/>
      <c r="D115" s="33" t="n"/>
      <c r="E115" s="33" t="n"/>
      <c r="F115" s="33" t="n"/>
      <c r="G115" s="33" t="n"/>
    </row>
    <row r="116" ht="41" customHeight="1" s="26">
      <c r="A116" s="27" t="inlineStr">
        <is>
          <t>2026-03-13_03-03-32</t>
        </is>
      </c>
      <c r="B116" s="27" t="inlineStr">
        <is>
          <t>1773371348704_1773371368605</t>
        </is>
      </c>
      <c r="C116" s="27" t="inlineStr">
        <is>
          <t>1773371364505.png</t>
        </is>
      </c>
      <c r="D116" s="32">
        <f>IMAGE("https://liskibruh.github.io/l4_data_sheets_table_images_mapper/l4_problematic_frames/xl/media/image401.png")</f>
        <v/>
      </c>
      <c r="E116" s="30" t="n"/>
      <c r="F116" s="30" t="n"/>
      <c r="G116" s="27" t="inlineStr">
        <is>
          <t>Missing truck detection</t>
        </is>
      </c>
    </row>
    <row r="117" ht="17" customHeight="1" s="26">
      <c r="A117" s="33" t="n"/>
      <c r="B117" s="33" t="n"/>
      <c r="C117" s="33" t="n"/>
      <c r="D117" s="33" t="n"/>
      <c r="E117" s="33" t="n"/>
      <c r="F117" s="33" t="n"/>
      <c r="G117" s="33" t="n"/>
    </row>
    <row r="118" ht="55" customHeight="1" s="26">
      <c r="A118" s="27" t="inlineStr">
        <is>
          <t>2026-03-13_03-03-32</t>
        </is>
      </c>
      <c r="B118" s="27" t="inlineStr">
        <is>
          <t>1773371348704_1773371368605</t>
        </is>
      </c>
      <c r="C118" s="27" t="inlineStr">
        <is>
          <t>1773371364805.png - 1773371365704.png</t>
        </is>
      </c>
      <c r="D118" s="32">
        <f>IMAGE("https://liskibruh.github.io/l4_data_sheets_table_images_mapper/l4_problematic_frames/xl/media/image402.png")</f>
        <v/>
      </c>
      <c r="E118" s="32">
        <f>IMAGE("https://liskibruh.github.io/l4_data_sheets_table_images_mapper/l4_problematic_frames/xl/media/image403.png")</f>
        <v/>
      </c>
      <c r="F118" s="30" t="n"/>
      <c r="G118" s="27" t="inlineStr">
        <is>
          <t>Missing truck detection</t>
        </is>
      </c>
    </row>
    <row r="119" ht="17" customHeight="1" s="26">
      <c r="A119" s="33" t="n"/>
      <c r="B119" s="33" t="n"/>
      <c r="C119" s="33" t="n"/>
      <c r="D119" s="33" t="n"/>
      <c r="E119" s="33" t="n"/>
      <c r="F119" s="33" t="n"/>
      <c r="G119" s="33" t="n"/>
    </row>
    <row r="120" ht="55" customHeight="1" s="26">
      <c r="A120" s="27" t="inlineStr">
        <is>
          <t>2026-03-13_03-03-32</t>
        </is>
      </c>
      <c r="B120" s="27" t="inlineStr">
        <is>
          <t>1773371348704_1773371368605</t>
        </is>
      </c>
      <c r="C120" s="27" t="inlineStr">
        <is>
          <t>1773371368004.png - 1773371368605.png</t>
        </is>
      </c>
      <c r="D120" s="32">
        <f>IMAGE("https://liskibruh.github.io/l4_data_sheets_table_images_mapper/l4_problematic_frames/xl/media/image404.png")</f>
        <v/>
      </c>
      <c r="E120" s="32">
        <f>IMAGE("https://liskibruh.github.io/l4_data_sheets_table_images_mapper/l4_problematic_frames/xl/media/image405.png")</f>
        <v/>
      </c>
      <c r="F120" s="30" t="n"/>
      <c r="G120" s="27" t="inlineStr">
        <is>
          <t>Missing truck detection</t>
        </is>
      </c>
    </row>
    <row r="121" ht="17" customHeight="1" s="26">
      <c r="A121" s="33" t="n"/>
      <c r="B121" s="33" t="n"/>
      <c r="C121" s="33" t="n"/>
      <c r="D121" s="33" t="n"/>
      <c r="E121" s="33" t="n"/>
      <c r="F121" s="33" t="n"/>
      <c r="G121" s="33" t="n"/>
    </row>
    <row r="122" ht="55" customHeight="1" s="26">
      <c r="A122" s="27" t="inlineStr">
        <is>
          <t>2026-03-13_03-03-32</t>
        </is>
      </c>
      <c r="B122" s="27" t="inlineStr">
        <is>
          <t>1773371348704_1773371368605</t>
        </is>
      </c>
      <c r="C122" s="27" t="inlineStr">
        <is>
          <t>1773371370905.png - 1773371371805.png</t>
        </is>
      </c>
      <c r="D122" s="32">
        <f>IMAGE("https://liskibruh.github.io/l4_data_sheets_table_images_mapper/l4_problematic_frames/xl/media/image406.png")</f>
        <v/>
      </c>
      <c r="E122" s="32">
        <f>IMAGE("https://liskibruh.github.io/l4_data_sheets_table_images_mapper/l4_problematic_frames/xl/media/image407.png")</f>
        <v/>
      </c>
      <c r="F122" s="30" t="n"/>
      <c r="G122" s="27" t="inlineStr">
        <is>
          <t>Missing truck detection</t>
        </is>
      </c>
    </row>
    <row r="123" ht="17" customHeight="1" s="26">
      <c r="A123" s="33" t="n"/>
      <c r="B123" s="33" t="n"/>
      <c r="C123" s="33" t="n"/>
      <c r="D123" s="33" t="n"/>
      <c r="E123" s="33" t="n"/>
      <c r="F123" s="33" t="n"/>
      <c r="G123" s="33" t="n"/>
    </row>
    <row r="124" ht="41" customHeight="1" s="26">
      <c r="A124" s="27" t="inlineStr">
        <is>
          <t>2026-03-13_03-03-32</t>
        </is>
      </c>
      <c r="B124" s="27" t="inlineStr">
        <is>
          <t>1773371348704_1773371368605</t>
        </is>
      </c>
      <c r="C124" s="27" t="inlineStr">
        <is>
          <t>1773371372804.png</t>
        </is>
      </c>
      <c r="D124" s="32">
        <f>IMAGE("https://liskibruh.github.io/l4_data_sheets_table_images_mapper/l4_problematic_frames/xl/media/image408.png")</f>
        <v/>
      </c>
      <c r="E124" s="30" t="n"/>
      <c r="F124" s="30" t="n"/>
      <c r="G124" s="27" t="inlineStr">
        <is>
          <t>Missing truck detection</t>
        </is>
      </c>
    </row>
    <row r="125" ht="17" customHeight="1" s="26">
      <c r="A125" s="33" t="n"/>
      <c r="B125" s="33" t="n"/>
      <c r="C125" s="33" t="n"/>
      <c r="D125" s="33" t="n"/>
      <c r="E125" s="33" t="n"/>
      <c r="F125" s="33" t="n"/>
      <c r="G125" s="33" t="n"/>
    </row>
    <row r="126" ht="41" customHeight="1" s="26">
      <c r="A126" s="27" t="inlineStr">
        <is>
          <t>2026-03-13_03-03-32</t>
        </is>
      </c>
      <c r="B126" s="27" t="inlineStr">
        <is>
          <t>1773371649503_1773371669405</t>
        </is>
      </c>
      <c r="C126" s="27" t="n">
        <v>1773371662005</v>
      </c>
      <c r="D126" s="32">
        <f>IMAGE("https://liskibruh.github.io/l4_data_sheets_table_images_mapper/l4_problematic_frames/xl/media/image409.png")</f>
        <v/>
      </c>
      <c r="E126" s="30" t="n"/>
      <c r="F126" s="30" t="n"/>
      <c r="G126" s="27" t="inlineStr">
        <is>
          <t>Missing static object</t>
        </is>
      </c>
    </row>
    <row r="127" ht="17" customHeight="1" s="26">
      <c r="A127" s="33" t="n"/>
      <c r="B127" s="33" t="n"/>
      <c r="C127" s="33" t="n"/>
      <c r="D127" s="33" t="n"/>
      <c r="E127" s="33" t="n"/>
      <c r="F127" s="33" t="n"/>
      <c r="G127" s="33" t="n"/>
    </row>
    <row r="128" ht="41" customHeight="1" s="26">
      <c r="A128" s="27" t="inlineStr">
        <is>
          <t>2026-03-13_03-03-32</t>
        </is>
      </c>
      <c r="B128" s="27" t="inlineStr">
        <is>
          <t>1773371649503_1773371669405</t>
        </is>
      </c>
      <c r="C128" s="4" t="n">
        <v>1773371662305</v>
      </c>
      <c r="D128" s="32">
        <f>IMAGE("https://liskibruh.github.io/l4_data_sheets_table_images_mapper/l4_problematic_frames/xl/media/image410.png")</f>
        <v/>
      </c>
      <c r="E128" s="32">
        <f>IMAGE("https://liskibruh.github.io/l4_data_sheets_table_images_mapper/l4_problematic_frames/xl/media/image411.png")</f>
        <v/>
      </c>
      <c r="F128" s="30" t="n"/>
      <c r="G128" s="27" t="inlineStr">
        <is>
          <t>Missing static object</t>
        </is>
      </c>
    </row>
    <row r="129" ht="17" customHeight="1" s="26">
      <c r="A129" s="33" t="n"/>
      <c r="B129" s="33" t="n"/>
      <c r="C129" s="7" t="n">
        <v>1773371662405</v>
      </c>
      <c r="D129" s="33" t="n"/>
      <c r="E129" s="33" t="n"/>
      <c r="F129" s="33" t="n"/>
      <c r="G129" s="33" t="n"/>
    </row>
    <row r="130" ht="41" customHeight="1" s="26">
      <c r="A130" s="27" t="inlineStr">
        <is>
          <t>2026-03-13_03-03-32</t>
        </is>
      </c>
      <c r="B130" s="27" t="inlineStr">
        <is>
          <t>1773371649503_1773371669405</t>
        </is>
      </c>
      <c r="C130" s="27" t="n">
        <v>1773371663005</v>
      </c>
      <c r="D130" s="32">
        <f>IMAGE("https://liskibruh.github.io/l4_data_sheets_table_images_mapper/l4_problematic_frames/xl/media/image412.png")</f>
        <v/>
      </c>
      <c r="E130" s="30" t="n"/>
      <c r="F130" s="30" t="n"/>
      <c r="G130" s="27" t="inlineStr">
        <is>
          <t>Missing static object</t>
        </is>
      </c>
    </row>
    <row r="131" ht="17" customHeight="1" s="26">
      <c r="A131" s="33" t="n"/>
      <c r="B131" s="33" t="n"/>
      <c r="C131" s="33" t="n"/>
      <c r="D131" s="33" t="n"/>
      <c r="E131" s="33" t="n"/>
      <c r="F131" s="33" t="n"/>
      <c r="G131" s="33" t="n"/>
    </row>
    <row r="132" ht="41" customHeight="1" s="26">
      <c r="A132" s="27" t="inlineStr">
        <is>
          <t>2026-03-13_03-03-32</t>
        </is>
      </c>
      <c r="B132" s="27" t="inlineStr">
        <is>
          <t>1773371649503_1773371669405</t>
        </is>
      </c>
      <c r="C132" s="27" t="n">
        <v>1773371663804</v>
      </c>
      <c r="D132" s="32">
        <f>IMAGE("https://liskibruh.github.io/l4_data_sheets_table_images_mapper/l4_problematic_frames/xl/media/image413.png")</f>
        <v/>
      </c>
      <c r="E132" s="30" t="n"/>
      <c r="F132" s="30" t="n"/>
      <c r="G132" s="27" t="inlineStr">
        <is>
          <t>Missing static object</t>
        </is>
      </c>
    </row>
    <row r="133" ht="17" customHeight="1" s="26">
      <c r="A133" s="33" t="n"/>
      <c r="B133" s="33" t="n"/>
      <c r="C133" s="33" t="n"/>
      <c r="D133" s="33" t="n"/>
      <c r="E133" s="33" t="n"/>
      <c r="F133" s="33" t="n"/>
      <c r="G133" s="33" t="n"/>
    </row>
    <row r="134" ht="41" customHeight="1" s="26">
      <c r="A134" s="27" t="inlineStr">
        <is>
          <t>2026-03-13_03-03-32</t>
        </is>
      </c>
      <c r="B134" s="27" t="inlineStr">
        <is>
          <t>1773371649503_1773371669405</t>
        </is>
      </c>
      <c r="C134" s="27" t="n">
        <v>1773371664304</v>
      </c>
      <c r="D134" s="32">
        <f>IMAGE("https://liskibruh.github.io/l4_data_sheets_table_images_mapper/l4_problematic_frames/xl/media/image414.png")</f>
        <v/>
      </c>
      <c r="E134" s="30" t="n"/>
      <c r="F134" s="30" t="n"/>
      <c r="G134" s="27" t="inlineStr">
        <is>
          <t>Missing static object</t>
        </is>
      </c>
    </row>
    <row r="135" ht="17" customHeight="1" s="26">
      <c r="A135" s="33" t="n"/>
      <c r="B135" s="33" t="n"/>
      <c r="C135" s="33" t="n"/>
      <c r="D135" s="33" t="n"/>
      <c r="E135" s="33" t="n"/>
      <c r="F135" s="33" t="n"/>
      <c r="G135" s="33" t="n"/>
    </row>
    <row r="136" ht="41" customHeight="1" s="26">
      <c r="A136" s="27" t="inlineStr">
        <is>
          <t>2026-03-13_03-03-32</t>
        </is>
      </c>
      <c r="B136" s="27" t="inlineStr">
        <is>
          <t>1773371649503_1773371669405</t>
        </is>
      </c>
      <c r="C136" s="4" t="n">
        <v>1773371665004</v>
      </c>
      <c r="D136" s="32">
        <f>IMAGE("https://liskibruh.github.io/l4_data_sheets_table_images_mapper/l4_problematic_frames/xl/media/image415.png")</f>
        <v/>
      </c>
      <c r="E136" s="32">
        <f>IMAGE("https://liskibruh.github.io/l4_data_sheets_table_images_mapper/l4_problematic_frames/xl/media/image416.png")</f>
        <v/>
      </c>
      <c r="F136" s="30" t="n"/>
      <c r="G136" s="27" t="inlineStr">
        <is>
          <t>Missing static object</t>
        </is>
      </c>
    </row>
    <row r="137" ht="17" customHeight="1" s="26">
      <c r="A137" s="33" t="n"/>
      <c r="B137" s="33" t="n"/>
      <c r="C137" s="7" t="n">
        <v>1773371665104</v>
      </c>
      <c r="D137" s="33" t="n"/>
      <c r="E137" s="33" t="n"/>
      <c r="F137" s="33" t="n"/>
      <c r="G137" s="33" t="n"/>
    </row>
    <row r="138" ht="41" customHeight="1" s="26">
      <c r="A138" s="27" t="inlineStr">
        <is>
          <t>2026-03-13_03-03-32</t>
        </is>
      </c>
      <c r="B138" s="27" t="inlineStr">
        <is>
          <t>1773371649503_1773371669405</t>
        </is>
      </c>
      <c r="C138" s="27" t="inlineStr">
        <is>
          <t>1773371665204 - 1773371665605</t>
        </is>
      </c>
      <c r="D138" s="32">
        <f>IMAGE("https://liskibruh.github.io/l4_data_sheets_table_images_mapper/l4_problematic_frames/xl/media/image417.png")</f>
        <v/>
      </c>
      <c r="E138" s="32">
        <f>IMAGE("https://liskibruh.github.io/l4_data_sheets_table_images_mapper/l4_problematic_frames/xl/media/image418.png")</f>
        <v/>
      </c>
      <c r="F138" s="30" t="n"/>
      <c r="G138" s="27" t="inlineStr">
        <is>
          <t>Missing static object (range)</t>
        </is>
      </c>
    </row>
    <row r="139" ht="17" customHeight="1" s="26">
      <c r="A139" s="33" t="n"/>
      <c r="B139" s="33" t="n"/>
      <c r="C139" s="33" t="n"/>
      <c r="D139" s="33" t="n"/>
      <c r="E139" s="33" t="n"/>
      <c r="F139" s="33" t="n"/>
      <c r="G139" s="33" t="n"/>
    </row>
    <row r="140" ht="41" customHeight="1" s="26">
      <c r="A140" s="27" t="inlineStr">
        <is>
          <t>2026-03-13_03-03-32</t>
        </is>
      </c>
      <c r="B140" s="27" t="inlineStr">
        <is>
          <t>1773371649503_1773371669405</t>
        </is>
      </c>
      <c r="C140" s="27" t="inlineStr">
        <is>
          <t>1773371665805 - 1773371666105</t>
        </is>
      </c>
      <c r="D140" s="32">
        <f>IMAGE("https://liskibruh.github.io/l4_data_sheets_table_images_mapper/l4_problematic_frames/xl/media/image419.png")</f>
        <v/>
      </c>
      <c r="E140" s="32">
        <f>IMAGE("https://liskibruh.github.io/l4_data_sheets_table_images_mapper/l4_problematic_frames/xl/media/image420.png")</f>
        <v/>
      </c>
      <c r="F140" s="30" t="n"/>
      <c r="G140" s="27" t="inlineStr">
        <is>
          <t>Missing static object (range)</t>
        </is>
      </c>
    </row>
    <row r="141" ht="17" customHeight="1" s="26">
      <c r="A141" s="33" t="n"/>
      <c r="B141" s="33" t="n"/>
      <c r="C141" s="33" t="n"/>
      <c r="D141" s="33" t="n"/>
      <c r="E141" s="33" t="n"/>
      <c r="F141" s="33" t="n"/>
      <c r="G141" s="33" t="n"/>
    </row>
    <row r="142" ht="41" customHeight="1" s="26">
      <c r="A142" s="27" t="inlineStr">
        <is>
          <t>2026-03-13_03-03-32</t>
        </is>
      </c>
      <c r="B142" s="27" t="inlineStr">
        <is>
          <t>1773371649503_1773371669405</t>
        </is>
      </c>
      <c r="C142" s="27" t="n">
        <v>1773371666504</v>
      </c>
      <c r="D142" s="32">
        <f>IMAGE("https://liskibruh.github.io/l4_data_sheets_table_images_mapper/l4_problematic_frames/xl/media/image421.png")</f>
        <v/>
      </c>
      <c r="E142" s="30" t="n"/>
      <c r="F142" s="30" t="n"/>
      <c r="G142" s="27" t="inlineStr">
        <is>
          <t>Missing static object</t>
        </is>
      </c>
    </row>
    <row r="143" ht="17" customHeight="1" s="26">
      <c r="A143" s="33" t="n"/>
      <c r="B143" s="33" t="n"/>
      <c r="C143" s="33" t="n"/>
      <c r="D143" s="33" t="n"/>
      <c r="E143" s="33" t="n"/>
      <c r="F143" s="33" t="n"/>
      <c r="G143" s="33" t="n"/>
    </row>
    <row r="144" ht="41" customHeight="1" s="26">
      <c r="A144" s="27" t="inlineStr">
        <is>
          <t>2026-03-13_03-03-32</t>
        </is>
      </c>
      <c r="B144" s="27" t="inlineStr">
        <is>
          <t>1773371669505_1773371689504</t>
        </is>
      </c>
      <c r="C144" s="4" t="n">
        <v>1773371672003</v>
      </c>
      <c r="D144" s="32">
        <f>IMAGE("https://liskibruh.github.io/l4_data_sheets_table_images_mapper/l4_problematic_frames/xl/media/image422.png")</f>
        <v/>
      </c>
      <c r="E144" s="32">
        <f>IMAGE("https://liskibruh.github.io/l4_data_sheets_table_images_mapper/l4_problematic_frames/xl/media/image423.png")</f>
        <v/>
      </c>
      <c r="F144" s="30" t="n"/>
      <c r="G144" s="27" t="inlineStr">
        <is>
          <t>Static object (false positive)</t>
        </is>
      </c>
    </row>
    <row r="145" ht="17" customHeight="1" s="26">
      <c r="A145" s="33" t="n"/>
      <c r="B145" s="33" t="n"/>
      <c r="C145" s="7" t="n">
        <v>1773371672603</v>
      </c>
      <c r="D145" s="33" t="n"/>
      <c r="E145" s="33" t="n"/>
      <c r="F145" s="33" t="n"/>
      <c r="G145" s="33" t="n"/>
    </row>
    <row r="146" ht="41" customHeight="1" s="26">
      <c r="A146" s="27" t="inlineStr">
        <is>
          <t>2026-03-13_03-03-32</t>
        </is>
      </c>
      <c r="B146" s="27" t="inlineStr">
        <is>
          <t>1773371709605_1773371729604</t>
        </is>
      </c>
      <c r="C146" s="27" t="inlineStr">
        <is>
          <t>1773371727505 - 1773371728604</t>
        </is>
      </c>
      <c r="D146" s="32">
        <f>IMAGE("https://liskibruh.github.io/l4_data_sheets_table_images_mapper/l4_problematic_frames/xl/media/image424.png")</f>
        <v/>
      </c>
      <c r="E146" s="32">
        <f>IMAGE("https://liskibruh.github.io/l4_data_sheets_table_images_mapper/l4_problematic_frames/xl/media/image425.png")</f>
        <v/>
      </c>
      <c r="F146" s="30" t="n"/>
      <c r="G146" s="27" t="inlineStr">
        <is>
          <t>Missing static object (range)</t>
        </is>
      </c>
    </row>
    <row r="147" ht="17" customHeight="1" s="26">
      <c r="A147" s="33" t="n"/>
      <c r="B147" s="33" t="n"/>
      <c r="C147" s="33" t="n"/>
      <c r="D147" s="33" t="n"/>
      <c r="E147" s="33" t="n"/>
      <c r="F147" s="33" t="n"/>
      <c r="G147" s="33" t="n"/>
    </row>
    <row r="148" ht="41" customHeight="1" s="26">
      <c r="A148" s="27" t="inlineStr">
        <is>
          <t>2026-03-13_03-03-32</t>
        </is>
      </c>
      <c r="B148" s="27" t="inlineStr">
        <is>
          <t>1773371729704_1773371749605</t>
        </is>
      </c>
      <c r="C148" s="4" t="inlineStr">
        <is>
          <t>1773371729704 -</t>
        </is>
      </c>
      <c r="D148" s="32">
        <f>IMAGE("https://liskibruh.github.io/l4_data_sheets_table_images_mapper/l4_problematic_frames/xl/media/image426.png")</f>
        <v/>
      </c>
      <c r="E148" s="32">
        <f>IMAGE("https://liskibruh.github.io/l4_data_sheets_table_images_mapper/l4_problematic_frames/xl/media/image427.png")</f>
        <v/>
      </c>
      <c r="F148" s="30" t="n"/>
      <c r="G148" s="27" t="inlineStr">
        <is>
          <t>Missing static objects</t>
        </is>
      </c>
    </row>
    <row r="149" ht="17" customHeight="1" s="26">
      <c r="A149" s="33" t="n"/>
      <c r="B149" s="33" t="n"/>
      <c r="C149" s="7" t="n">
        <v>1773371730404</v>
      </c>
      <c r="D149" s="33" t="n"/>
      <c r="E149" s="33" t="n"/>
      <c r="F149" s="33" t="n"/>
      <c r="G149" s="33" t="n"/>
    </row>
    <row r="150" ht="41" customHeight="1" s="26">
      <c r="A150" s="27" t="inlineStr">
        <is>
          <t>2026-03-13_03-03-32</t>
        </is>
      </c>
      <c r="B150" s="27" t="inlineStr">
        <is>
          <t>1773371729704_1773371749605</t>
        </is>
      </c>
      <c r="C150" s="27" t="inlineStr">
        <is>
          <t>1773371733604 - 1773371735704</t>
        </is>
      </c>
      <c r="D150" s="32">
        <f>IMAGE("https://liskibruh.github.io/l4_data_sheets_table_images_mapper/l4_problematic_frames/xl/media/image428.png")</f>
        <v/>
      </c>
      <c r="E150" s="32">
        <f>IMAGE("https://liskibruh.github.io/l4_data_sheets_table_images_mapper/l4_problematic_frames/xl/media/image429.png")</f>
        <v/>
      </c>
      <c r="F150" s="30" t="n"/>
      <c r="G150" s="27" t="inlineStr">
        <is>
          <t>Missing static object</t>
        </is>
      </c>
    </row>
    <row r="151" ht="17" customHeight="1" s="26">
      <c r="A151" s="33" t="n"/>
      <c r="B151" s="33" t="n"/>
      <c r="C151" s="33" t="n"/>
      <c r="D151" s="33" t="n"/>
      <c r="E151" s="33" t="n"/>
      <c r="F151" s="33" t="n"/>
      <c r="G151" s="33" t="n"/>
    </row>
    <row r="152" ht="41" customHeight="1" s="26">
      <c r="A152" s="27" t="inlineStr">
        <is>
          <t>2026-03-13_03-03-32</t>
        </is>
      </c>
      <c r="B152" s="27" t="inlineStr">
        <is>
          <t>1773371729704_1773371749605</t>
        </is>
      </c>
      <c r="C152" s="27" t="inlineStr">
        <is>
          <t>1773371734705 - 1773371735605</t>
        </is>
      </c>
      <c r="D152" s="32">
        <f>IMAGE("https://liskibruh.github.io/l4_data_sheets_table_images_mapper/l4_problematic_frames/xl/media/image430.png")</f>
        <v/>
      </c>
      <c r="E152" s="32">
        <f>IMAGE("https://liskibruh.github.io/l4_data_sheets_table_images_mapper/l4_problematic_frames/xl/media/image431.png")</f>
        <v/>
      </c>
      <c r="F152" s="30" t="n"/>
      <c r="G152" s="27" t="inlineStr">
        <is>
          <t>Missing trucks</t>
        </is>
      </c>
    </row>
    <row r="153" ht="17" customHeight="1" s="26">
      <c r="A153" s="33" t="n"/>
      <c r="B153" s="33" t="n"/>
      <c r="C153" s="33" t="n"/>
      <c r="D153" s="33" t="n"/>
      <c r="E153" s="33" t="n"/>
      <c r="F153" s="33" t="n"/>
      <c r="G153" s="33" t="n"/>
    </row>
    <row r="154" ht="41" customHeight="1" s="26">
      <c r="A154" s="27" t="inlineStr">
        <is>
          <t>2026-03-13_03-03-32</t>
        </is>
      </c>
      <c r="B154" s="27" t="inlineStr">
        <is>
          <t>1773371729704_1773371749605</t>
        </is>
      </c>
      <c r="C154" s="27" t="inlineStr">
        <is>
          <t>1773371742605 - 1773371743704</t>
        </is>
      </c>
      <c r="D154" s="32">
        <f>IMAGE("https://liskibruh.github.io/l4_data_sheets_table_images_mapper/l4_problematic_frames/xl/media/image432.png")</f>
        <v/>
      </c>
      <c r="E154" s="32">
        <f>IMAGE("https://liskibruh.github.io/l4_data_sheets_table_images_mapper/l4_problematic_frames/xl/media/image433.png")</f>
        <v/>
      </c>
      <c r="F154" s="30" t="n"/>
      <c r="G154" s="27" t="inlineStr">
        <is>
          <t>Missing static object</t>
        </is>
      </c>
    </row>
    <row r="155" ht="17" customHeight="1" s="26">
      <c r="A155" s="33" t="n"/>
      <c r="B155" s="33" t="n"/>
      <c r="C155" s="33" t="n"/>
      <c r="D155" s="33" t="n"/>
      <c r="E155" s="33" t="n"/>
      <c r="F155" s="33" t="n"/>
      <c r="G155" s="33" t="n"/>
    </row>
    <row r="156" ht="41" customHeight="1" s="26">
      <c r="A156" s="27" t="inlineStr">
        <is>
          <t>2026-03-13_03-03-32</t>
        </is>
      </c>
      <c r="B156" s="27" t="inlineStr">
        <is>
          <t>1773371729704_1773371749605</t>
        </is>
      </c>
      <c r="C156" s="27" t="inlineStr">
        <is>
          <t>1773371743005 - 1773371744704</t>
        </is>
      </c>
      <c r="D156" s="32">
        <f>IMAGE("https://liskibruh.github.io/l4_data_sheets_table_images_mapper/l4_problematic_frames/xl/media/image434.png")</f>
        <v/>
      </c>
      <c r="E156" s="32">
        <f>IMAGE("https://liskibruh.github.io/l4_data_sheets_table_images_mapper/l4_problematic_frames/xl/media/image435.png")</f>
        <v/>
      </c>
      <c r="F156" s="30" t="n"/>
      <c r="G156" s="27" t="inlineStr">
        <is>
          <t>False positive (static objects)</t>
        </is>
      </c>
    </row>
    <row r="157" ht="17" customHeight="1" s="26">
      <c r="A157" s="33" t="n"/>
      <c r="B157" s="33" t="n"/>
      <c r="C157" s="33" t="n"/>
      <c r="D157" s="33" t="n"/>
      <c r="E157" s="33" t="n"/>
      <c r="F157" s="33" t="n"/>
      <c r="G157" s="33" t="n"/>
    </row>
    <row r="158" ht="41" customHeight="1" s="26">
      <c r="A158" s="27" t="inlineStr">
        <is>
          <t>2026-03-13_03-03-32</t>
        </is>
      </c>
      <c r="B158" s="27" t="inlineStr">
        <is>
          <t>1773371729704_1773371749605</t>
        </is>
      </c>
      <c r="C158" s="27" t="inlineStr">
        <is>
          <t>1773371748905 - 1773371749605</t>
        </is>
      </c>
      <c r="D158" s="32">
        <f>IMAGE("https://liskibruh.github.io/l4_data_sheets_table_images_mapper/l4_problematic_frames/xl/media/image436.png")</f>
        <v/>
      </c>
      <c r="E158" s="32">
        <f>IMAGE("https://liskibruh.github.io/l4_data_sheets_table_images_mapper/l4_problematic_frames/xl/media/image437.png")</f>
        <v/>
      </c>
      <c r="F158" s="30" t="n"/>
      <c r="G158" s="27" t="inlineStr">
        <is>
          <t>False positive (static object)</t>
        </is>
      </c>
    </row>
    <row r="159" ht="17" customHeight="1" s="26">
      <c r="A159" s="33" t="n"/>
      <c r="B159" s="33" t="n"/>
      <c r="C159" s="33" t="n"/>
      <c r="D159" s="33" t="n"/>
      <c r="E159" s="33" t="n"/>
      <c r="F159" s="33" t="n"/>
      <c r="G159" s="33" t="n"/>
    </row>
    <row r="160" ht="41" customHeight="1" s="26">
      <c r="A160" s="27" t="inlineStr">
        <is>
          <t>2026-03-13_03-03-32</t>
        </is>
      </c>
      <c r="B160" s="27" t="inlineStr">
        <is>
          <t>1773371749705_1773371769703</t>
        </is>
      </c>
      <c r="C160" s="27" t="n">
        <v>1773371751204</v>
      </c>
      <c r="D160" s="32">
        <f>IMAGE("https://liskibruh.github.io/l4_data_sheets_table_images_mapper/l4_problematic_frames/xl/media/image438.png")</f>
        <v/>
      </c>
      <c r="E160" s="30" t="n"/>
      <c r="F160" s="30" t="n"/>
      <c r="G160" s="27" t="inlineStr">
        <is>
          <t>Missing car</t>
        </is>
      </c>
    </row>
    <row r="161" ht="17" customHeight="1" s="26">
      <c r="A161" s="33" t="n"/>
      <c r="B161" s="33" t="n"/>
      <c r="C161" s="33" t="n"/>
      <c r="D161" s="33" t="n"/>
      <c r="E161" s="33" t="n"/>
      <c r="F161" s="33" t="n"/>
      <c r="G161" s="33" t="n"/>
    </row>
    <row r="162" ht="17" customHeight="1" s="26">
      <c r="A162" s="27" t="inlineStr">
        <is>
          <t>2026-03-13_03-03-32</t>
        </is>
      </c>
      <c r="B162" s="27" t="inlineStr">
        <is>
          <t>1773371749705_1773371769703</t>
        </is>
      </c>
      <c r="C162" s="4" t="n">
        <v>1773371766904</v>
      </c>
      <c r="D162" s="32">
        <f>IMAGE("https://liskibruh.github.io/l4_data_sheets_table_images_mapper/l4_problematic_frames/xl/media/image439.png")</f>
        <v/>
      </c>
      <c r="E162" s="32">
        <f>IMAGE("https://liskibruh.github.io/l4_data_sheets_table_images_mapper/l4_problematic_frames/xl/media/image440.png")</f>
        <v/>
      </c>
      <c r="F162" s="32">
        <f>IMAGE("https://liskibruh.github.io/l4_data_sheets_table_images_mapper/l4_problematic_frames/xl/media/image441.png")</f>
        <v/>
      </c>
      <c r="G162" s="27" t="inlineStr">
        <is>
          <t>Missing static object</t>
        </is>
      </c>
    </row>
    <row r="163" ht="17" customHeight="1" s="26">
      <c r="A163" s="34" t="n"/>
      <c r="B163" s="34" t="n"/>
      <c r="C163" s="10" t="n">
        <v>1773371767104</v>
      </c>
      <c r="D163" s="34" t="n"/>
      <c r="E163" s="34" t="n"/>
      <c r="F163" s="34" t="n"/>
      <c r="G163" s="34" t="n"/>
    </row>
    <row r="164" ht="17" customHeight="1" s="26">
      <c r="A164" s="34" t="n"/>
      <c r="B164" s="34" t="n"/>
      <c r="C164" s="10" t="n">
        <v>1773371767204</v>
      </c>
      <c r="D164" s="34" t="n"/>
      <c r="E164" s="34" t="n"/>
      <c r="F164" s="34" t="n"/>
      <c r="G164" s="34" t="n"/>
    </row>
    <row r="165" ht="59" customHeight="1" s="26">
      <c r="A165" s="33" t="n"/>
      <c r="B165" s="33" t="n"/>
      <c r="C165" s="7" t="inlineStr">
        <is>
          <t>1773371767404 - 1773371769604</t>
        </is>
      </c>
      <c r="D165" s="33" t="n"/>
      <c r="E165" s="33" t="n"/>
      <c r="F165" s="33" t="n"/>
      <c r="G165" s="33" t="n"/>
    </row>
    <row r="166" ht="17" customHeight="1" s="26">
      <c r="A166" s="27" t="inlineStr">
        <is>
          <t>2026-03-13_03-03-32</t>
        </is>
      </c>
      <c r="B166" s="27" t="inlineStr">
        <is>
          <t>1773371749705_1773371769703</t>
        </is>
      </c>
      <c r="C166" s="4" t="n">
        <v>1773371768505</v>
      </c>
      <c r="D166" s="32">
        <f>IMAGE("https://liskibruh.github.io/l4_data_sheets_table_images_mapper/l4_problematic_frames/xl/media/image442.png")</f>
        <v/>
      </c>
      <c r="E166" s="32">
        <f>IMAGE("https://liskibruh.github.io/l4_data_sheets_table_images_mapper/l4_problematic_frames/xl/media/image443.png")</f>
        <v/>
      </c>
      <c r="F166" s="30" t="n"/>
      <c r="G166" s="27" t="inlineStr">
        <is>
          <t>Truck is misclassified as car</t>
        </is>
      </c>
    </row>
    <row r="167" ht="17" customHeight="1" s="26">
      <c r="A167" s="34" t="n"/>
      <c r="B167" s="34" t="n"/>
      <c r="C167" s="10" t="n">
        <v>1773371768605</v>
      </c>
      <c r="D167" s="34" t="n"/>
      <c r="E167" s="34" t="n"/>
      <c r="F167" s="34" t="n"/>
      <c r="G167" s="34" t="n"/>
    </row>
    <row r="168" ht="17" customHeight="1" s="26">
      <c r="A168" s="34" t="n"/>
      <c r="B168" s="34" t="n"/>
      <c r="C168" s="10" t="n">
        <v>1773371768704</v>
      </c>
      <c r="D168" s="34" t="n"/>
      <c r="E168" s="34" t="n"/>
      <c r="F168" s="34" t="n"/>
      <c r="G168" s="34" t="n"/>
    </row>
    <row r="169" ht="17" customHeight="1" s="26">
      <c r="A169" s="34" t="n"/>
      <c r="B169" s="34" t="n"/>
      <c r="C169" s="10" t="n">
        <v>1773371768804</v>
      </c>
      <c r="D169" s="34" t="n"/>
      <c r="E169" s="34" t="n"/>
      <c r="F169" s="34" t="n"/>
      <c r="G169" s="34" t="n"/>
    </row>
    <row r="170" ht="17" customHeight="1" s="26">
      <c r="A170" s="34" t="n"/>
      <c r="B170" s="34" t="n"/>
      <c r="C170" s="10" t="n">
        <v>1773371768904</v>
      </c>
      <c r="D170" s="34" t="n"/>
      <c r="E170" s="34" t="n"/>
      <c r="F170" s="34" t="n"/>
      <c r="G170" s="34" t="n"/>
    </row>
    <row r="171" ht="57" customHeight="1" s="26">
      <c r="A171" s="34" t="n"/>
      <c r="B171" s="34" t="n"/>
      <c r="C171" s="10" t="inlineStr">
        <is>
          <t>1773371769005 - 1773371769404</t>
        </is>
      </c>
      <c r="D171" s="34" t="n"/>
      <c r="E171" s="34" t="n"/>
      <c r="F171" s="34" t="n"/>
      <c r="G171" s="34" t="n"/>
    </row>
    <row r="172" ht="17" customHeight="1" s="26">
      <c r="A172" s="33" t="n"/>
      <c r="B172" s="33" t="n"/>
      <c r="C172" s="7" t="n">
        <v>1773371769604</v>
      </c>
      <c r="D172" s="33" t="n"/>
      <c r="E172" s="33" t="n"/>
      <c r="F172" s="33" t="n"/>
      <c r="G172" s="33" t="n"/>
    </row>
    <row r="173" ht="43" customHeight="1" s="26">
      <c r="A173" s="27" t="inlineStr">
        <is>
          <t>2026-03-13_03-03-32</t>
        </is>
      </c>
      <c r="B173" s="27" t="inlineStr">
        <is>
          <t>1773371769804_1773371789705</t>
        </is>
      </c>
      <c r="C173" s="4" t="n">
        <v>1773371769804</v>
      </c>
      <c r="D173" s="32">
        <f>IMAGE("https://liskibruh.github.io/l4_data_sheets_table_images_mapper/l4_problematic_frames/xl/media/image444.png")</f>
        <v/>
      </c>
      <c r="E173" s="30" t="n"/>
      <c r="F173" s="30" t="n"/>
      <c r="G173" s="4" t="inlineStr">
        <is>
          <t>Truck is misclassified as car</t>
        </is>
      </c>
    </row>
    <row r="174" ht="116" customHeight="1" s="26">
      <c r="A174" s="33" t="n"/>
      <c r="B174" s="33" t="n"/>
      <c r="C174" s="7" t="inlineStr">
        <is>
          <t>1773371769904 - 1773371770604</t>
        </is>
      </c>
      <c r="D174" s="33" t="n"/>
      <c r="E174" s="33" t="n"/>
      <c r="F174" s="33" t="n"/>
      <c r="G174" s="7" t="inlineStr">
        <is>
          <t>In 1773371770504 car that is being misclassified is missing</t>
        </is>
      </c>
    </row>
    <row r="175" ht="41" customHeight="1" s="26">
      <c r="A175" s="27" t="inlineStr">
        <is>
          <t>2026-03-13_03-03-32</t>
        </is>
      </c>
      <c r="B175" s="27" t="inlineStr">
        <is>
          <t>1773371769804_1773371789705</t>
        </is>
      </c>
      <c r="C175" s="27" t="inlineStr">
        <is>
          <t>1773371785504 - 1773371788604</t>
        </is>
      </c>
      <c r="D175" s="32">
        <f>IMAGE("https://liskibruh.github.io/l4_data_sheets_table_images_mapper/l4_problematic_frames/xl/media/image445.png")</f>
        <v/>
      </c>
      <c r="E175" s="32">
        <f>IMAGE("https://liskibruh.github.io/l4_data_sheets_table_images_mapper/l4_problematic_frames/xl/media/image446.png")</f>
        <v/>
      </c>
      <c r="F175" s="30" t="n"/>
      <c r="G175" s="27" t="inlineStr">
        <is>
          <t>Missing static object (range)</t>
        </is>
      </c>
    </row>
    <row r="176" ht="17" customHeight="1" s="26">
      <c r="A176" s="33" t="n"/>
      <c r="B176" s="33" t="n"/>
      <c r="C176" s="33" t="n"/>
      <c r="D176" s="33" t="n"/>
      <c r="E176" s="33" t="n"/>
      <c r="F176" s="33" t="n"/>
      <c r="G176" s="33" t="n"/>
    </row>
    <row r="177" ht="41" customHeight="1" s="26">
      <c r="A177" s="27" t="inlineStr">
        <is>
          <t>2026-03-13_03-03-32</t>
        </is>
      </c>
      <c r="B177" s="27" t="inlineStr">
        <is>
          <t>1773371769804_1773371789705</t>
        </is>
      </c>
      <c r="C177" s="4" t="inlineStr">
        <is>
          <t>1773371788704 -</t>
        </is>
      </c>
      <c r="D177" s="32">
        <f>IMAGE("https://liskibruh.github.io/l4_data_sheets_table_images_mapper/l4_problematic_frames/xl/media/image447.png")</f>
        <v/>
      </c>
      <c r="E177" s="32">
        <f>IMAGE("https://liskibruh.github.io/l4_data_sheets_table_images_mapper/l4_problematic_frames/xl/media/image448.png")</f>
        <v/>
      </c>
      <c r="F177" s="30" t="n"/>
      <c r="G177" s="27" t="inlineStr">
        <is>
          <t>Missing car</t>
        </is>
      </c>
    </row>
    <row r="178" ht="17" customHeight="1" s="26">
      <c r="A178" s="33" t="n"/>
      <c r="B178" s="33" t="n"/>
      <c r="C178" s="7" t="n">
        <v>1773371789705</v>
      </c>
      <c r="D178" s="33" t="n"/>
      <c r="E178" s="33" t="n"/>
      <c r="F178" s="33" t="n"/>
      <c r="G178" s="33" t="n"/>
    </row>
    <row r="179" ht="41" customHeight="1" s="26">
      <c r="A179" s="27" t="inlineStr">
        <is>
          <t>2026-03-13_03-03-32</t>
        </is>
      </c>
      <c r="B179" s="27" t="inlineStr">
        <is>
          <t>1773371789905_1773371809904</t>
        </is>
      </c>
      <c r="C179" s="27" t="inlineStr">
        <is>
          <t>1773371789905 - 1773371790904</t>
        </is>
      </c>
      <c r="D179" s="32">
        <f>IMAGE("https://liskibruh.github.io/l4_data_sheets_table_images_mapper/l4_problematic_frames/xl/media/image449.png")</f>
        <v/>
      </c>
      <c r="E179" s="32">
        <f>IMAGE("https://liskibruh.github.io/l4_data_sheets_table_images_mapper/l4_problematic_frames/xl/media/image450.png")</f>
        <v/>
      </c>
      <c r="F179" s="30" t="n"/>
      <c r="G179" s="27" t="inlineStr">
        <is>
          <t>Missing static object</t>
        </is>
      </c>
    </row>
    <row r="180" ht="17" customHeight="1" s="26">
      <c r="A180" s="33" t="n"/>
      <c r="B180" s="33" t="n"/>
      <c r="C180" s="33" t="n"/>
      <c r="D180" s="33" t="n"/>
      <c r="E180" s="33" t="n"/>
      <c r="F180" s="33" t="n"/>
      <c r="G180" s="33" t="n"/>
    </row>
    <row r="181" ht="41" customHeight="1" s="26">
      <c r="A181" s="27" t="inlineStr">
        <is>
          <t>2026-03-13_03-03-32</t>
        </is>
      </c>
      <c r="B181" s="27" t="inlineStr">
        <is>
          <t>1773371789905_1773371809904</t>
        </is>
      </c>
      <c r="C181" s="27" t="inlineStr">
        <is>
          <t>1773371791005 - 1773371791904</t>
        </is>
      </c>
      <c r="D181" s="32">
        <f>IMAGE("https://liskibruh.github.io/l4_data_sheets_table_images_mapper/l4_problematic_frames/xl/media/image451.png")</f>
        <v/>
      </c>
      <c r="E181" s="32">
        <f>IMAGE("https://liskibruh.github.io/l4_data_sheets_table_images_mapper/l4_problematic_frames/xl/media/image452.png")</f>
        <v/>
      </c>
      <c r="F181" s="30" t="n"/>
      <c r="G181" s="27" t="inlineStr">
        <is>
          <t>Missing truck</t>
        </is>
      </c>
    </row>
    <row r="182" ht="17" customHeight="1" s="26">
      <c r="A182" s="33" t="n"/>
      <c r="B182" s="33" t="n"/>
      <c r="C182" s="33" t="n"/>
      <c r="D182" s="33" t="n"/>
      <c r="E182" s="33" t="n"/>
      <c r="F182" s="33" t="n"/>
      <c r="G182" s="33" t="n"/>
    </row>
    <row r="183" ht="41" customHeight="1" s="26">
      <c r="A183" s="27" t="inlineStr">
        <is>
          <t>2026-03-13_03-03-32</t>
        </is>
      </c>
      <c r="B183" s="27" t="inlineStr">
        <is>
          <t>1773371789905_1773371809904</t>
        </is>
      </c>
      <c r="C183" s="4" t="inlineStr">
        <is>
          <t>1773371792104 -</t>
        </is>
      </c>
      <c r="D183" s="32">
        <f>IMAGE("https://liskibruh.github.io/l4_data_sheets_table_images_mapper/l4_problematic_frames/xl/media/image453.png")</f>
        <v/>
      </c>
      <c r="E183" s="32">
        <f>IMAGE("https://liskibruh.github.io/l4_data_sheets_table_images_mapper/l4_problematic_frames/xl/media/image454.png")</f>
        <v/>
      </c>
      <c r="F183" s="30" t="n"/>
      <c r="G183" s="27" t="inlineStr">
        <is>
          <t>Missing static objects</t>
        </is>
      </c>
    </row>
    <row r="184" ht="17" customHeight="1" s="26">
      <c r="A184" s="33" t="n"/>
      <c r="B184" s="33" t="n"/>
      <c r="C184" s="7" t="n">
        <v>1773371794804</v>
      </c>
      <c r="D184" s="33" t="n"/>
      <c r="E184" s="33" t="n"/>
      <c r="F184" s="33" t="n"/>
      <c r="G184" s="33" t="n"/>
    </row>
    <row r="185" ht="41" customHeight="1" s="26">
      <c r="A185" s="27" t="inlineStr">
        <is>
          <t>2026-03-13_03-03-32</t>
        </is>
      </c>
      <c r="B185" s="27" t="inlineStr">
        <is>
          <t>1773371789905_1773371809904</t>
        </is>
      </c>
      <c r="C185" s="4" t="inlineStr">
        <is>
          <t>1773371796104 -</t>
        </is>
      </c>
      <c r="D185" s="32">
        <f>IMAGE("https://liskibruh.github.io/l4_data_sheets_table_images_mapper/l4_problematic_frames/xl/media/image455.png")</f>
        <v/>
      </c>
      <c r="E185" s="32">
        <f>IMAGE("https://liskibruh.github.io/l4_data_sheets_table_images_mapper/l4_problematic_frames/xl/media/image456.png")</f>
        <v/>
      </c>
      <c r="F185" s="30" t="n"/>
      <c r="G185" s="27" t="inlineStr">
        <is>
          <t>Missing trucks and static objects</t>
        </is>
      </c>
    </row>
    <row r="186" ht="17" customHeight="1" s="26">
      <c r="A186" s="33" t="n"/>
      <c r="B186" s="33" t="n"/>
      <c r="C186" s="7" t="n">
        <v>1773371796905</v>
      </c>
      <c r="D186" s="33" t="n"/>
      <c r="E186" s="33" t="n"/>
      <c r="F186" s="33" t="n"/>
      <c r="G186" s="33" t="n"/>
    </row>
    <row r="187" ht="41" customHeight="1" s="26">
      <c r="A187" s="27" t="inlineStr">
        <is>
          <t>2026-03-13_03-03-32</t>
        </is>
      </c>
      <c r="B187" s="27" t="inlineStr">
        <is>
          <t>1773371789905_1773371809904</t>
        </is>
      </c>
      <c r="C187" s="4" t="inlineStr">
        <is>
          <t>1773371798904 -</t>
        </is>
      </c>
      <c r="D187" s="32">
        <f>IMAGE("https://liskibruh.github.io/l4_data_sheets_table_images_mapper/l4_problematic_frames/xl/media/image457.png")</f>
        <v/>
      </c>
      <c r="E187" s="32">
        <f>IMAGE("https://liskibruh.github.io/l4_data_sheets_table_images_mapper/l4_problematic_frames/xl/media/image458.png")</f>
        <v/>
      </c>
      <c r="F187" s="30" t="n"/>
      <c r="G187" s="27" t="inlineStr">
        <is>
          <t>Missing truck and static object</t>
        </is>
      </c>
    </row>
    <row r="188" ht="17" customHeight="1" s="26">
      <c r="A188" s="33" t="n"/>
      <c r="B188" s="33" t="n"/>
      <c r="C188" s="7" t="n">
        <v>1773371799904</v>
      </c>
      <c r="D188" s="33" t="n"/>
      <c r="E188" s="33" t="n"/>
      <c r="F188" s="33" t="n"/>
      <c r="G188" s="33" t="n"/>
    </row>
    <row r="189" ht="41" customHeight="1" s="26">
      <c r="A189" s="27" t="inlineStr">
        <is>
          <t>2026-03-13_03-03-32</t>
        </is>
      </c>
      <c r="B189" s="27" t="inlineStr">
        <is>
          <t>1773371789905_1773371809904</t>
        </is>
      </c>
      <c r="C189" s="27" t="inlineStr">
        <is>
          <t>1773371800905 - 1773371802804</t>
        </is>
      </c>
      <c r="D189" s="32">
        <f>IMAGE("https://liskibruh.github.io/l4_data_sheets_table_images_mapper/l4_problematic_frames/xl/media/image459.png")</f>
        <v/>
      </c>
      <c r="E189" s="32">
        <f>IMAGE("https://liskibruh.github.io/l4_data_sheets_table_images_mapper/l4_problematic_frames/xl/media/image460.png")</f>
        <v/>
      </c>
      <c r="F189" s="30" t="n"/>
      <c r="G189" s="27" t="inlineStr">
        <is>
          <t>Missing static object</t>
        </is>
      </c>
    </row>
    <row r="190" ht="17" customHeight="1" s="26">
      <c r="A190" s="33" t="n"/>
      <c r="B190" s="33" t="n"/>
      <c r="C190" s="33" t="n"/>
      <c r="D190" s="33" t="n"/>
      <c r="E190" s="33" t="n"/>
      <c r="F190" s="33" t="n"/>
      <c r="G190" s="33" t="n"/>
    </row>
    <row r="191" ht="41" customHeight="1" s="26">
      <c r="A191" s="27" t="inlineStr">
        <is>
          <t>2026-03-13_03-03-32</t>
        </is>
      </c>
      <c r="B191" s="27" t="inlineStr">
        <is>
          <t>1773371789905_1773371809904</t>
        </is>
      </c>
      <c r="C191" s="4" t="inlineStr">
        <is>
          <t>1773371803704 -</t>
        </is>
      </c>
      <c r="D191" s="32">
        <f>IMAGE("https://liskibruh.github.io/l4_data_sheets_table_images_mapper/l4_problematic_frames/xl/media/image461.png")</f>
        <v/>
      </c>
      <c r="E191" s="32">
        <f>IMAGE("https://liskibruh.github.io/l4_data_sheets_table_images_mapper/l4_problematic_frames/xl/media/image462.png")</f>
        <v/>
      </c>
      <c r="F191" s="30" t="n"/>
      <c r="G191" s="27" t="inlineStr">
        <is>
          <t>Missing static object</t>
        </is>
      </c>
    </row>
    <row r="192" ht="17" customHeight="1" s="26">
      <c r="A192" s="33" t="n"/>
      <c r="B192" s="33" t="n"/>
      <c r="C192" s="7" t="n">
        <v>1773371806204</v>
      </c>
      <c r="D192" s="33" t="n"/>
      <c r="E192" s="33" t="n"/>
      <c r="F192" s="33" t="n"/>
      <c r="G192" s="33" t="n"/>
    </row>
    <row r="193" ht="41" customHeight="1" s="26">
      <c r="A193" s="27" t="inlineStr">
        <is>
          <t>2026-03-13_03-03-32</t>
        </is>
      </c>
      <c r="B193" s="27" t="inlineStr">
        <is>
          <t>1773371789905_1773371809904</t>
        </is>
      </c>
      <c r="C193" s="27" t="inlineStr">
        <is>
          <t>1773371807304 - 1773371809005</t>
        </is>
      </c>
      <c r="D193" s="32">
        <f>IMAGE("https://liskibruh.github.io/l4_data_sheets_table_images_mapper/l4_problematic_frames/xl/media/image463.png")</f>
        <v/>
      </c>
      <c r="E193" s="30" t="n"/>
      <c r="F193" s="30" t="n"/>
      <c r="G193" s="27" t="inlineStr">
        <is>
          <t>Missing static object</t>
        </is>
      </c>
    </row>
    <row r="194" ht="17" customHeight="1" s="26">
      <c r="A194" s="33" t="n"/>
      <c r="B194" s="33" t="n"/>
      <c r="C194" s="33" t="n"/>
      <c r="D194" s="33" t="n"/>
      <c r="E194" s="33" t="n"/>
      <c r="F194" s="33" t="n"/>
      <c r="G194" s="33" t="n"/>
    </row>
    <row r="195" ht="41" customHeight="1" s="26">
      <c r="A195" s="27" t="inlineStr">
        <is>
          <t>2026-03-13_03-03-32</t>
        </is>
      </c>
      <c r="B195" s="27" t="inlineStr">
        <is>
          <t>1773371810005_1773371830004</t>
        </is>
      </c>
      <c r="C195" s="27" t="inlineStr">
        <is>
          <t>1773371810005 - 1773371810904</t>
        </is>
      </c>
      <c r="D195" s="32">
        <f>IMAGE("https://liskibruh.github.io/l4_data_sheets_table_images_mapper/l4_problematic_frames/xl/media/image464.png")</f>
        <v/>
      </c>
      <c r="E195" s="30" t="n"/>
      <c r="F195" s="30" t="n"/>
      <c r="G195" s="27" t="inlineStr">
        <is>
          <t>Missing static object</t>
        </is>
      </c>
    </row>
    <row r="196" ht="17" customHeight="1" s="26">
      <c r="A196" s="33" t="n"/>
      <c r="B196" s="33" t="n"/>
      <c r="C196" s="33" t="n"/>
      <c r="D196" s="33" t="n"/>
      <c r="E196" s="33" t="n"/>
      <c r="F196" s="33" t="n"/>
      <c r="G196" s="33" t="n"/>
    </row>
    <row r="197" ht="41" customHeight="1" s="26">
      <c r="A197" s="27" t="inlineStr">
        <is>
          <t>2026-03-13_03-03-32</t>
        </is>
      </c>
      <c r="B197" s="27" t="inlineStr">
        <is>
          <t>1773371810005_1773371830004</t>
        </is>
      </c>
      <c r="C197" s="4" t="inlineStr">
        <is>
          <t>1773371827505 -</t>
        </is>
      </c>
      <c r="D197" s="32">
        <f>IMAGE("https://liskibruh.github.io/l4_data_sheets_table_images_mapper/l4_problematic_frames/xl/media/image465.png")</f>
        <v/>
      </c>
      <c r="E197" s="32">
        <f>IMAGE("https://liskibruh.github.io/l4_data_sheets_table_images_mapper/l4_problematic_frames/xl/media/image466.png")</f>
        <v/>
      </c>
      <c r="F197" s="30" t="n"/>
      <c r="G197" s="27" t="inlineStr">
        <is>
          <t>Misisng static object</t>
        </is>
      </c>
    </row>
    <row r="198" ht="17" customHeight="1" s="26">
      <c r="A198" s="33" t="n"/>
      <c r="B198" s="33" t="n"/>
      <c r="C198" s="7" t="n">
        <v>1773371829304</v>
      </c>
      <c r="D198" s="33" t="n"/>
      <c r="E198" s="33" t="n"/>
      <c r="F198" s="33" t="n"/>
      <c r="G198" s="33" t="n"/>
    </row>
    <row r="199" ht="84" customHeight="1" s="26">
      <c r="A199" s="27" t="inlineStr">
        <is>
          <t>2026-03-13_03-03-32</t>
        </is>
      </c>
      <c r="B199" s="27" t="inlineStr">
        <is>
          <t>1773371830103_1773371850005</t>
        </is>
      </c>
      <c r="C199" s="4" t="inlineStr">
        <is>
          <t>1773371830104 -</t>
        </is>
      </c>
      <c r="D199" s="32">
        <f>IMAGE("https://liskibruh.github.io/l4_data_sheets_table_images_mapper/l4_problematic_frames/xl/media/image467.png")</f>
        <v/>
      </c>
      <c r="E199" s="32">
        <f>IMAGE("https://liskibruh.github.io/l4_data_sheets_table_images_mapper/l4_problematic_frames/xl/media/image468.png")</f>
        <v/>
      </c>
      <c r="F199" s="30" t="n"/>
      <c r="G199" s="27" t="inlineStr">
        <is>
          <t>Multiple bounding boxes are marked for the same static object</t>
        </is>
      </c>
    </row>
    <row r="200" ht="17" customHeight="1" s="26">
      <c r="A200" s="33" t="n"/>
      <c r="B200" s="33" t="n"/>
      <c r="C200" s="7" t="n">
        <v>1773371830904</v>
      </c>
      <c r="D200" s="33" t="n"/>
      <c r="E200" s="33" t="n"/>
      <c r="F200" s="33" t="n"/>
      <c r="G200" s="33" t="n"/>
    </row>
    <row r="201" ht="41" customHeight="1" s="26">
      <c r="A201" s="27" t="inlineStr">
        <is>
          <t>2026-03-13_03-03-32</t>
        </is>
      </c>
      <c r="B201" s="27" t="inlineStr">
        <is>
          <t>1773371830103_1773371850005</t>
        </is>
      </c>
      <c r="C201" s="4" t="inlineStr">
        <is>
          <t>1773371831005 -</t>
        </is>
      </c>
      <c r="D201" s="32">
        <f>IMAGE("https://liskibruh.github.io/l4_data_sheets_table_images_mapper/l4_problematic_frames/xl/media/image469.png")</f>
        <v/>
      </c>
      <c r="E201" s="32">
        <f>IMAGE("https://liskibruh.github.io/l4_data_sheets_table_images_mapper/l4_problematic_frames/xl/media/image470.png")</f>
        <v/>
      </c>
      <c r="F201" s="30" t="n"/>
      <c r="G201" s="27" t="inlineStr">
        <is>
          <t>Missing static object</t>
        </is>
      </c>
    </row>
    <row r="202" ht="17" customHeight="1" s="26">
      <c r="A202" s="33" t="n"/>
      <c r="B202" s="33" t="n"/>
      <c r="C202" s="7" t="n">
        <v>1773371832005</v>
      </c>
      <c r="D202" s="33" t="n"/>
      <c r="E202" s="33" t="n"/>
      <c r="F202" s="33" t="n"/>
      <c r="G202" s="33" t="n"/>
    </row>
    <row r="203" ht="41" customHeight="1" s="26">
      <c r="A203" s="27" t="inlineStr">
        <is>
          <t>2026-03-13_03-03-32</t>
        </is>
      </c>
      <c r="B203" s="27" t="inlineStr">
        <is>
          <t>1773371830103_1773371850005</t>
        </is>
      </c>
      <c r="C203" s="27" t="inlineStr">
        <is>
          <t>1773371833204 - 1773371834105</t>
        </is>
      </c>
      <c r="D203" s="32">
        <f>IMAGE("https://liskibruh.github.io/l4_data_sheets_table_images_mapper/l4_problematic_frames/xl/media/image471.png")</f>
        <v/>
      </c>
      <c r="E203" s="32">
        <f>IMAGE("https://liskibruh.github.io/l4_data_sheets_table_images_mapper/l4_problematic_frames/xl/media/image472.png")</f>
        <v/>
      </c>
      <c r="F203" s="30" t="n"/>
      <c r="G203" s="27" t="inlineStr">
        <is>
          <t>Missing static object</t>
        </is>
      </c>
    </row>
    <row r="204" ht="17" customHeight="1" s="26">
      <c r="A204" s="33" t="n"/>
      <c r="B204" s="33" t="n"/>
      <c r="C204" s="33" t="n"/>
      <c r="D204" s="33" t="n"/>
      <c r="E204" s="33" t="n"/>
      <c r="F204" s="33" t="n"/>
      <c r="G204" s="33" t="n"/>
    </row>
    <row r="205" ht="41" customHeight="1" s="26">
      <c r="A205" s="27" t="inlineStr">
        <is>
          <t>2026-03-13_03-03-32</t>
        </is>
      </c>
      <c r="B205" s="27" t="inlineStr">
        <is>
          <t>1773371830103_1773371850005</t>
        </is>
      </c>
      <c r="C205" s="4" t="inlineStr">
        <is>
          <t>1773371837204 -</t>
        </is>
      </c>
      <c r="D205" s="32">
        <f>IMAGE("https://liskibruh.github.io/l4_data_sheets_table_images_mapper/l4_problematic_frames/xl/media/image473.png")</f>
        <v/>
      </c>
      <c r="E205" s="32">
        <f>IMAGE("https://liskibruh.github.io/l4_data_sheets_table_images_mapper/l4_problematic_frames/xl/media/image474.png")</f>
        <v/>
      </c>
      <c r="F205" s="30" t="n"/>
      <c r="G205" s="27" t="inlineStr">
        <is>
          <t>Missing static object</t>
        </is>
      </c>
    </row>
    <row r="206" ht="17" customHeight="1" s="26">
      <c r="A206" s="33" t="n"/>
      <c r="B206" s="33" t="n"/>
      <c r="C206" s="7" t="n">
        <v>1773371842504</v>
      </c>
      <c r="D206" s="33" t="n"/>
      <c r="E206" s="33" t="n"/>
      <c r="F206" s="33" t="n"/>
      <c r="G206" s="33" t="n"/>
    </row>
    <row r="207" ht="41" customHeight="1" s="26">
      <c r="A207" s="27" t="inlineStr">
        <is>
          <t>2026-03-13_03-03-32</t>
        </is>
      </c>
      <c r="B207" s="27" t="inlineStr">
        <is>
          <t>1773371870204_1773371890005</t>
        </is>
      </c>
      <c r="C207" s="4" t="inlineStr">
        <is>
          <t>1773371872804 -</t>
        </is>
      </c>
      <c r="D207" s="32">
        <f>IMAGE("https://liskibruh.github.io/l4_data_sheets_table_images_mapper/l4_problematic_frames/xl/media/image475.png")</f>
        <v/>
      </c>
      <c r="E207" s="32">
        <f>IMAGE("https://liskibruh.github.io/l4_data_sheets_table_images_mapper/l4_problematic_frames/xl/media/image476.png")</f>
        <v/>
      </c>
      <c r="F207" s="30" t="n"/>
      <c r="G207" s="27" t="inlineStr">
        <is>
          <t>False positive static object</t>
        </is>
      </c>
    </row>
    <row r="208" ht="17" customHeight="1" s="26">
      <c r="A208" s="33" t="n"/>
      <c r="B208" s="33" t="n"/>
      <c r="C208" s="7" t="n">
        <v>1773371873805</v>
      </c>
      <c r="D208" s="33" t="n"/>
      <c r="E208" s="33" t="n"/>
      <c r="F208" s="33" t="n"/>
      <c r="G208" s="33" t="n"/>
    </row>
    <row r="209" ht="41" customHeight="1" s="26">
      <c r="A209" s="27" t="inlineStr">
        <is>
          <t>2026-03-13_03-03-32</t>
        </is>
      </c>
      <c r="B209" s="27" t="inlineStr">
        <is>
          <t>1773371870204_1773371890005</t>
        </is>
      </c>
      <c r="C209" s="4" t="inlineStr">
        <is>
          <t>1773371885104 -</t>
        </is>
      </c>
      <c r="D209" s="32">
        <f>IMAGE("https://liskibruh.github.io/l4_data_sheets_table_images_mapper/l4_problematic_frames/xl/media/image477.png")</f>
        <v/>
      </c>
      <c r="E209" s="32">
        <f>IMAGE("https://liskibruh.github.io/l4_data_sheets_table_images_mapper/l4_problematic_frames/xl/media/image478.png")</f>
        <v/>
      </c>
      <c r="F209" s="30" t="n"/>
      <c r="G209" s="27" t="inlineStr">
        <is>
          <t>Missing static object</t>
        </is>
      </c>
    </row>
    <row r="210" ht="17" customHeight="1" s="26">
      <c r="A210" s="33" t="n"/>
      <c r="B210" s="33" t="n"/>
      <c r="C210" s="7" t="n">
        <v>1773371886005</v>
      </c>
      <c r="D210" s="33" t="n"/>
      <c r="E210" s="33" t="n"/>
      <c r="F210" s="33" t="n"/>
      <c r="G210" s="33" t="n"/>
    </row>
    <row r="211" ht="41" customHeight="1" s="26">
      <c r="A211" s="27" t="inlineStr">
        <is>
          <t>2026-03-13_03-03-32</t>
        </is>
      </c>
      <c r="B211" s="27" t="inlineStr">
        <is>
          <t>1773371890205_1773371910204</t>
        </is>
      </c>
      <c r="C211" s="4" t="inlineStr">
        <is>
          <t>1773371893305 -</t>
        </is>
      </c>
      <c r="D211" s="32">
        <f>IMAGE("https://liskibruh.github.io/l4_data_sheets_table_images_mapper/l4_problematic_frames/xl/media/image479.png")</f>
        <v/>
      </c>
      <c r="E211" s="32">
        <f>IMAGE("https://liskibruh.github.io/l4_data_sheets_table_images_mapper/l4_problematic_frames/xl/media/image480.png")</f>
        <v/>
      </c>
      <c r="F211" s="30" t="n"/>
      <c r="G211" s="27" t="inlineStr">
        <is>
          <t>Missing car and static object</t>
        </is>
      </c>
    </row>
    <row r="212" ht="17" customHeight="1" s="26">
      <c r="A212" s="33" t="n"/>
      <c r="B212" s="33" t="n"/>
      <c r="C212" s="7" t="n">
        <v>1773371894204</v>
      </c>
      <c r="D212" s="33" t="n"/>
      <c r="E212" s="33" t="n"/>
      <c r="F212" s="33" t="n"/>
      <c r="G212" s="33" t="n"/>
    </row>
    <row r="213" ht="41" customHeight="1" s="26">
      <c r="A213" s="27" t="inlineStr">
        <is>
          <t>2026-03-13_03-03-32</t>
        </is>
      </c>
      <c r="B213" s="27" t="inlineStr">
        <is>
          <t>1773371890205_1773371910204</t>
        </is>
      </c>
      <c r="C213" s="27" t="inlineStr">
        <is>
          <t>1773371900605 - 1773371901704</t>
        </is>
      </c>
      <c r="D213" s="32">
        <f>IMAGE("https://liskibruh.github.io/l4_data_sheets_table_images_mapper/l4_problematic_frames/xl/media/image481.png")</f>
        <v/>
      </c>
      <c r="E213" s="32">
        <f>IMAGE("https://liskibruh.github.io/l4_data_sheets_table_images_mapper/l4_problematic_frames/xl/media/image482.png")</f>
        <v/>
      </c>
      <c r="F213" s="30" t="n"/>
      <c r="G213" s="27" t="inlineStr">
        <is>
          <t>Missing car</t>
        </is>
      </c>
    </row>
    <row r="214" ht="17" customHeight="1" s="26">
      <c r="A214" s="33" t="n"/>
      <c r="B214" s="33" t="n"/>
      <c r="C214" s="33" t="n"/>
      <c r="D214" s="33" t="n"/>
      <c r="E214" s="33" t="n"/>
      <c r="F214" s="33" t="n"/>
      <c r="G214" s="33" t="n"/>
    </row>
    <row r="215" ht="41" customHeight="1" s="26">
      <c r="A215" s="27" t="inlineStr">
        <is>
          <t>2026-03-13_03-03-32</t>
        </is>
      </c>
      <c r="B215" s="27" t="inlineStr">
        <is>
          <t>1773371890205_1773371910204</t>
        </is>
      </c>
      <c r="C215" s="4" t="inlineStr">
        <is>
          <t>1773371901604 -</t>
        </is>
      </c>
      <c r="D215" s="32">
        <f>IMAGE("https://liskibruh.github.io/l4_data_sheets_table_images_mapper/l4_problematic_frames/xl/media/image483.png")</f>
        <v/>
      </c>
      <c r="E215" s="32">
        <f>IMAGE("https://liskibruh.github.io/l4_data_sheets_table_images_mapper/l4_problematic_frames/xl/media/image484.png")</f>
        <v/>
      </c>
      <c r="F215" s="30" t="n"/>
      <c r="G215" s="27" t="inlineStr">
        <is>
          <t>Missing static object</t>
        </is>
      </c>
    </row>
    <row r="216" ht="17" customHeight="1" s="26">
      <c r="A216" s="33" t="n"/>
      <c r="B216" s="33" t="n"/>
      <c r="C216" s="7" t="n">
        <v>1773371902604</v>
      </c>
      <c r="D216" s="33" t="n"/>
      <c r="E216" s="33" t="n"/>
      <c r="F216" s="33" t="n"/>
      <c r="G216" s="33" t="n"/>
    </row>
    <row r="217" ht="41" customHeight="1" s="26">
      <c r="A217" s="27" t="inlineStr">
        <is>
          <t>2026-03-13_03-03-32</t>
        </is>
      </c>
      <c r="B217" s="27" t="inlineStr">
        <is>
          <t>1773371910304_1773371930205</t>
        </is>
      </c>
      <c r="C217" s="4" t="inlineStr">
        <is>
          <t>1773371916304 -</t>
        </is>
      </c>
      <c r="D217" s="32">
        <f>IMAGE("https://liskibruh.github.io/l4_data_sheets_table_images_mapper/l4_problematic_frames/xl/media/image485.png")</f>
        <v/>
      </c>
      <c r="E217" s="32">
        <f>IMAGE("https://liskibruh.github.io/l4_data_sheets_table_images_mapper/l4_problematic_frames/xl/media/image486.png")</f>
        <v/>
      </c>
      <c r="F217" s="30" t="n"/>
      <c r="G217" s="27" t="inlineStr">
        <is>
          <t>False positive static object</t>
        </is>
      </c>
    </row>
    <row r="218" ht="17" customHeight="1" s="26">
      <c r="A218" s="33" t="n"/>
      <c r="B218" s="33" t="n"/>
      <c r="C218" s="7" t="n">
        <v>1773371917204</v>
      </c>
      <c r="D218" s="33" t="n"/>
      <c r="E218" s="33" t="n"/>
      <c r="F218" s="33" t="n"/>
      <c r="G218" s="33" t="n"/>
    </row>
    <row r="219" ht="41" customHeight="1" s="26">
      <c r="A219" s="27" t="inlineStr">
        <is>
          <t>2026-03-13_03-03-32</t>
        </is>
      </c>
      <c r="B219" s="27" t="inlineStr">
        <is>
          <t>1773371910304_1773371930205</t>
        </is>
      </c>
      <c r="C219" s="27" t="inlineStr">
        <is>
          <t>1773371918204 - 1773371919105</t>
        </is>
      </c>
      <c r="D219" s="32">
        <f>IMAGE("https://liskibruh.github.io/l4_data_sheets_table_images_mapper/l4_problematic_frames/xl/media/image487.png")</f>
        <v/>
      </c>
      <c r="E219" s="32">
        <f>IMAGE("https://liskibruh.github.io/l4_data_sheets_table_images_mapper/l4_problematic_frames/xl/media/image488.png")</f>
        <v/>
      </c>
      <c r="F219" s="30" t="n"/>
      <c r="G219" s="27" t="inlineStr">
        <is>
          <t>False positive Pedestrian</t>
        </is>
      </c>
    </row>
    <row r="220" ht="17" customHeight="1" s="26">
      <c r="A220" s="33" t="n"/>
      <c r="B220" s="33" t="n"/>
      <c r="C220" s="33" t="n"/>
      <c r="D220" s="33" t="n"/>
      <c r="E220" s="33" t="n"/>
      <c r="F220" s="33" t="n"/>
      <c r="G220" s="33" t="n"/>
    </row>
    <row r="221" ht="41" customHeight="1" s="26">
      <c r="A221" s="27" t="inlineStr">
        <is>
          <t>2026-03-13_03-03-32</t>
        </is>
      </c>
      <c r="B221" s="27" t="inlineStr">
        <is>
          <t>1773371910304_1773371930205</t>
        </is>
      </c>
      <c r="C221" s="27" t="inlineStr">
        <is>
          <t>1773371919205 - 1773371920005</t>
        </is>
      </c>
      <c r="D221" s="32">
        <f>IMAGE("https://liskibruh.github.io/l4_data_sheets_table_images_mapper/l4_problematic_frames/xl/media/image489.png")</f>
        <v/>
      </c>
      <c r="E221" s="32">
        <f>IMAGE("https://liskibruh.github.io/l4_data_sheets_table_images_mapper/l4_problematic_frames/xl/media/image490.png")</f>
        <v/>
      </c>
      <c r="F221" s="30" t="n"/>
      <c r="G221" s="27" t="inlineStr">
        <is>
          <t>False positive static onject</t>
        </is>
      </c>
    </row>
    <row r="222" ht="17" customHeight="1" s="26">
      <c r="A222" s="33" t="n"/>
      <c r="B222" s="33" t="n"/>
      <c r="C222" s="33" t="n"/>
      <c r="D222" s="33" t="n"/>
      <c r="E222" s="33" t="n"/>
      <c r="F222" s="33" t="n"/>
      <c r="G222" s="33" t="n"/>
    </row>
    <row r="223" ht="41" customHeight="1" s="26">
      <c r="A223" s="27" t="inlineStr">
        <is>
          <t>2026-03-13_03-03-32</t>
        </is>
      </c>
      <c r="B223" s="27" t="inlineStr">
        <is>
          <t>1773371910304_1773371930205</t>
        </is>
      </c>
      <c r="C223" s="27" t="inlineStr">
        <is>
          <t>1773371924604 - 1773371925004</t>
        </is>
      </c>
      <c r="D223" s="32">
        <f>IMAGE("https://liskibruh.github.io/l4_data_sheets_table_images_mapper/l4_problematic_frames/xl/media/image491.png")</f>
        <v/>
      </c>
      <c r="E223" s="32">
        <f>IMAGE("https://liskibruh.github.io/l4_data_sheets_table_images_mapper/l4_problematic_frames/xl/media/image492.png")</f>
        <v/>
      </c>
      <c r="F223" s="30" t="n"/>
      <c r="G223" s="27" t="inlineStr">
        <is>
          <t>False positive static object</t>
        </is>
      </c>
    </row>
    <row r="224" ht="17" customHeight="1" s="26">
      <c r="A224" s="33" t="n"/>
      <c r="B224" s="33" t="n"/>
      <c r="C224" s="33" t="n"/>
      <c r="D224" s="33" t="n"/>
      <c r="E224" s="33" t="n"/>
      <c r="F224" s="33" t="n"/>
      <c r="G224" s="33" t="n"/>
    </row>
    <row r="225" ht="41" customHeight="1" s="26">
      <c r="A225" s="27" t="inlineStr">
        <is>
          <t>2026-03-13_03-03-32</t>
        </is>
      </c>
      <c r="B225" s="27" t="inlineStr">
        <is>
          <t>1773371910304_1773371930205</t>
        </is>
      </c>
      <c r="C225" s="4" t="inlineStr">
        <is>
          <t>1773371926105 -</t>
        </is>
      </c>
      <c r="D225" s="32">
        <f>IMAGE("https://liskibruh.github.io/l4_data_sheets_table_images_mapper/l4_problematic_frames/xl/media/image493.png")</f>
        <v/>
      </c>
      <c r="E225" s="32">
        <f>IMAGE("https://liskibruh.github.io/l4_data_sheets_table_images_mapper/l4_problematic_frames/xl/media/image494.png")</f>
        <v/>
      </c>
      <c r="F225" s="30" t="n"/>
      <c r="G225" s="27" t="inlineStr">
        <is>
          <t>Missing static object</t>
        </is>
      </c>
    </row>
    <row r="226" ht="17" customHeight="1" s="26">
      <c r="A226" s="33" t="n"/>
      <c r="B226" s="33" t="n"/>
      <c r="C226" s="7" t="n">
        <v>1773371927005</v>
      </c>
      <c r="D226" s="33" t="n"/>
      <c r="E226" s="33" t="n"/>
      <c r="F226" s="33" t="n"/>
      <c r="G226" s="33" t="n"/>
    </row>
    <row r="227" ht="41" customHeight="1" s="26">
      <c r="A227" s="27" t="inlineStr">
        <is>
          <t>2026-03-13_03-03-32</t>
        </is>
      </c>
      <c r="B227" s="27" t="inlineStr">
        <is>
          <t>1773371910304_1773371930205</t>
        </is>
      </c>
      <c r="C227" s="27" t="inlineStr">
        <is>
          <t>1773371928104 - 1773371929004</t>
        </is>
      </c>
      <c r="D227" s="32">
        <f>IMAGE("https://liskibruh.github.io/l4_data_sheets_table_images_mapper/l4_problematic_frames/xl/media/image495.png")</f>
        <v/>
      </c>
      <c r="E227" s="32">
        <f>IMAGE("https://liskibruh.github.io/l4_data_sheets_table_images_mapper/l4_problematic_frames/xl/media/image495.png")</f>
        <v/>
      </c>
      <c r="F227" s="30" t="n"/>
      <c r="G227" s="27" t="inlineStr">
        <is>
          <t>Missing static object</t>
        </is>
      </c>
    </row>
    <row r="228" ht="17" customHeight="1" s="26">
      <c r="A228" s="33" t="n"/>
      <c r="B228" s="33" t="n"/>
      <c r="C228" s="33" t="n"/>
      <c r="D228" s="33" t="n"/>
      <c r="E228" s="33" t="n"/>
      <c r="F228" s="33" t="n"/>
      <c r="G228" s="33" t="n"/>
    </row>
    <row r="229" ht="41" customHeight="1" s="26">
      <c r="A229" s="27" t="inlineStr">
        <is>
          <t>2026-03-13_03-03-32</t>
        </is>
      </c>
      <c r="B229" s="27" t="inlineStr">
        <is>
          <t>1773371930305_1773371950304</t>
        </is>
      </c>
      <c r="C229" s="4" t="inlineStr">
        <is>
          <t>1773371930305 -</t>
        </is>
      </c>
      <c r="D229" s="32">
        <f>IMAGE("https://liskibruh.github.io/l4_data_sheets_table_images_mapper/l4_problematic_frames/xl/media/image496.png")</f>
        <v/>
      </c>
      <c r="E229" s="32">
        <f>IMAGE("https://liskibruh.github.io/l4_data_sheets_table_images_mapper/l4_problematic_frames/xl/media/image497.png")</f>
        <v/>
      </c>
      <c r="F229" s="30" t="n"/>
      <c r="G229" s="27" t="inlineStr">
        <is>
          <t>Missing static object</t>
        </is>
      </c>
    </row>
    <row r="230" ht="17" customHeight="1" s="26">
      <c r="A230" s="33" t="n"/>
      <c r="B230" s="33" t="n"/>
      <c r="C230" s="7" t="n">
        <v>1773371931204</v>
      </c>
      <c r="D230" s="33" t="n"/>
      <c r="E230" s="33" t="n"/>
      <c r="F230" s="33" t="n"/>
      <c r="G230" s="33" t="n"/>
    </row>
    <row r="231" ht="41" customHeight="1" s="26">
      <c r="A231" s="27" t="inlineStr">
        <is>
          <t>2026-03-13_03-03-32</t>
        </is>
      </c>
      <c r="B231" s="27" t="inlineStr">
        <is>
          <t>1773371930305_1773371950304</t>
        </is>
      </c>
      <c r="C231" s="4" t="n">
        <v>1773371937704</v>
      </c>
      <c r="D231" s="32">
        <f>IMAGE("https://liskibruh.github.io/l4_data_sheets_table_images_mapper/l4_problematic_frames/xl/media/image498.png")</f>
        <v/>
      </c>
      <c r="E231" s="32">
        <f>IMAGE("https://liskibruh.github.io/l4_data_sheets_table_images_mapper/l4_problematic_frames/xl/media/image499.png")</f>
        <v/>
      </c>
      <c r="F231" s="30" t="n"/>
      <c r="G231" s="27" t="inlineStr">
        <is>
          <t>Missing static object</t>
        </is>
      </c>
    </row>
    <row r="232" ht="17" customHeight="1" s="26">
      <c r="A232" s="33" t="n"/>
      <c r="B232" s="33" t="n"/>
      <c r="C232" s="7" t="n">
        <v>1773371937804</v>
      </c>
      <c r="D232" s="33" t="n"/>
      <c r="E232" s="33" t="n"/>
      <c r="F232" s="33" t="n"/>
      <c r="G232" s="33" t="n"/>
    </row>
    <row r="233" ht="41" customHeight="1" s="26">
      <c r="A233" s="27" t="inlineStr">
        <is>
          <t>2026-03-13_03-03-32</t>
        </is>
      </c>
      <c r="B233" s="27" t="inlineStr">
        <is>
          <t>1773371930305_1773371950304</t>
        </is>
      </c>
      <c r="C233" s="27" t="inlineStr">
        <is>
          <t>1773371938304 - 1773371939304</t>
        </is>
      </c>
      <c r="D233" s="32">
        <f>IMAGE("https://liskibruh.github.io/l4_data_sheets_table_images_mapper/l4_problematic_frames/xl/media/image500.png")</f>
        <v/>
      </c>
      <c r="E233" s="32">
        <f>IMAGE("https://liskibruh.github.io/l4_data_sheets_table_images_mapper/l4_problematic_frames/xl/media/image501.png")</f>
        <v/>
      </c>
      <c r="F233" s="30" t="n"/>
      <c r="G233" s="27" t="inlineStr">
        <is>
          <t>Missing static object</t>
        </is>
      </c>
    </row>
    <row r="234" ht="17" customHeight="1" s="26">
      <c r="A234" s="33" t="n"/>
      <c r="B234" s="33" t="n"/>
      <c r="C234" s="33" t="n"/>
      <c r="D234" s="33" t="n"/>
      <c r="E234" s="33" t="n"/>
      <c r="F234" s="33" t="n"/>
      <c r="G234" s="33" t="n"/>
    </row>
    <row r="235" ht="41" customHeight="1" s="26">
      <c r="A235" s="27" t="inlineStr">
        <is>
          <t>2026-03-13_03-03-32</t>
        </is>
      </c>
      <c r="B235" s="27" t="inlineStr">
        <is>
          <t>1773371990504_1773372010405</t>
        </is>
      </c>
      <c r="C235" s="27" t="inlineStr">
        <is>
          <t>1773371993504 - 1773371994104</t>
        </is>
      </c>
      <c r="D235" s="32">
        <f>IMAGE("https://liskibruh.github.io/l4_data_sheets_table_images_mapper/l4_problematic_frames/xl/media/image502.png")</f>
        <v/>
      </c>
      <c r="E235" s="32">
        <f>IMAGE("https://liskibruh.github.io/l4_data_sheets_table_images_mapper/l4_problematic_frames/xl/media/image503.png")</f>
        <v/>
      </c>
      <c r="F235" s="30" t="n"/>
      <c r="G235" s="27" t="inlineStr">
        <is>
          <t>Missing static object</t>
        </is>
      </c>
    </row>
    <row r="236" ht="17" customHeight="1" s="26">
      <c r="A236" s="33" t="n"/>
      <c r="B236" s="33" t="n"/>
      <c r="C236" s="33" t="n"/>
      <c r="D236" s="33" t="n"/>
      <c r="E236" s="33" t="n"/>
      <c r="F236" s="33" t="n"/>
      <c r="G236" s="33" t="n"/>
    </row>
    <row r="237" ht="41" customHeight="1" s="26">
      <c r="A237" s="27" t="inlineStr">
        <is>
          <t>2026-03-13_03-03-32</t>
        </is>
      </c>
      <c r="B237" s="27" t="inlineStr">
        <is>
          <t>1773371990504_1773372010405</t>
        </is>
      </c>
      <c r="C237" s="4" t="inlineStr">
        <is>
          <t>1773371993504 -</t>
        </is>
      </c>
      <c r="D237" s="32">
        <f>IMAGE("https://liskibruh.github.io/l4_data_sheets_table_images_mapper/l4_problematic_frames/xl/media/image502.png")</f>
        <v/>
      </c>
      <c r="E237" s="32">
        <f>IMAGE("https://liskibruh.github.io/l4_data_sheets_table_images_mapper/l4_problematic_frames/xl/media/image504.png")</f>
        <v/>
      </c>
      <c r="F237" s="30" t="n"/>
      <c r="G237" s="27" t="inlineStr">
        <is>
          <t>Missing static object</t>
        </is>
      </c>
    </row>
    <row r="238" ht="17" customHeight="1" s="26">
      <c r="A238" s="33" t="n"/>
      <c r="B238" s="33" t="n"/>
      <c r="C238" s="7" t="n">
        <v>1773371993804</v>
      </c>
      <c r="D238" s="33" t="n"/>
      <c r="E238" s="33" t="n"/>
      <c r="F238" s="33" t="n"/>
      <c r="G238" s="33" t="n"/>
    </row>
    <row r="239" ht="100" customHeight="1" s="26">
      <c r="A239" s="27" t="inlineStr">
        <is>
          <t>2026-03-13_03-03-32</t>
        </is>
      </c>
      <c r="B239" s="27" t="inlineStr">
        <is>
          <t>1773371990504_1773372010405</t>
        </is>
      </c>
      <c r="C239" s="27" t="inlineStr">
        <is>
          <t>1773371993504 - 1773371996005</t>
        </is>
      </c>
      <c r="D239" s="32">
        <f>IMAGE("https://liskibruh.github.io/l4_data_sheets_table_images_mapper/l4_problematic_frames/xl/media/image502.png")</f>
        <v/>
      </c>
      <c r="E239" s="32">
        <f>IMAGE("https://liskibruh.github.io/l4_data_sheets_table_images_mapper/l4_problematic_frames/xl/media/image505.png")</f>
        <v/>
      </c>
      <c r="F239" s="30" t="n"/>
      <c r="G239" s="4" t="inlineStr">
        <is>
          <t>1773371993504 - 1773371994304 Truck is mislabeled as a car</t>
        </is>
      </c>
    </row>
    <row r="240" ht="17" customHeight="1" s="26">
      <c r="A240" s="34" t="n"/>
      <c r="B240" s="34" t="n"/>
      <c r="C240" s="34" t="n"/>
      <c r="D240" s="34" t="n"/>
      <c r="E240" s="34" t="n"/>
      <c r="F240" s="34" t="n"/>
      <c r="G240" s="17" t="n"/>
    </row>
    <row r="241" ht="87" customHeight="1" s="26">
      <c r="A241" s="33" t="n"/>
      <c r="B241" s="33" t="n"/>
      <c r="C241" s="33" t="n"/>
      <c r="D241" s="33" t="n"/>
      <c r="E241" s="33" t="n"/>
      <c r="F241" s="33" t="n"/>
      <c r="G241" s="7" t="inlineStr">
        <is>
          <t>1773371994304 - 1773371996005 missing truck</t>
        </is>
      </c>
    </row>
    <row r="242" ht="41" customHeight="1" s="26">
      <c r="A242" s="27" t="inlineStr">
        <is>
          <t>2026-03-13_03-03-32</t>
        </is>
      </c>
      <c r="B242" s="27" t="inlineStr">
        <is>
          <t>1773371990504_1773372010405</t>
        </is>
      </c>
      <c r="C242" s="4" t="inlineStr">
        <is>
          <t>1773371995505 -</t>
        </is>
      </c>
      <c r="D242" s="32">
        <f>IMAGE("https://liskibruh.github.io/l4_data_sheets_table_images_mapper/l4_problematic_frames/xl/media/image506.png")</f>
        <v/>
      </c>
      <c r="E242" s="32">
        <f>IMAGE("https://liskibruh.github.io/l4_data_sheets_table_images_mapper/l4_problematic_frames/xl/media/image507.png")</f>
        <v/>
      </c>
      <c r="F242" s="30" t="n"/>
      <c r="G242" s="27" t="inlineStr">
        <is>
          <t>Missing truck</t>
        </is>
      </c>
    </row>
    <row r="243" ht="17" customHeight="1" s="26">
      <c r="A243" s="33" t="n"/>
      <c r="B243" s="33" t="n"/>
      <c r="C243" s="7" t="n">
        <v>1773371998705</v>
      </c>
      <c r="D243" s="33" t="n"/>
      <c r="E243" s="33" t="n"/>
      <c r="F243" s="33" t="n"/>
      <c r="G243" s="33" t="n"/>
    </row>
    <row r="244" ht="41" customHeight="1" s="26">
      <c r="A244" s="27" t="inlineStr">
        <is>
          <t>2026-03-13_03-03-32</t>
        </is>
      </c>
      <c r="B244" s="27" t="inlineStr">
        <is>
          <t>1773371990504_1773372010405</t>
        </is>
      </c>
      <c r="C244" s="27" t="n">
        <v>1773372003005</v>
      </c>
      <c r="D244" s="32">
        <f>IMAGE("https://liskibruh.github.io/l4_data_sheets_table_images_mapper/l4_problematic_frames/xl/media/image508.png")</f>
        <v/>
      </c>
      <c r="E244" s="30" t="n"/>
      <c r="F244" s="30" t="n"/>
      <c r="G244" s="27" t="inlineStr">
        <is>
          <t>Missing static object</t>
        </is>
      </c>
    </row>
    <row r="245" ht="17" customHeight="1" s="26">
      <c r="A245" s="33" t="n"/>
      <c r="B245" s="33" t="n"/>
      <c r="C245" s="33" t="n"/>
      <c r="D245" s="33" t="n"/>
      <c r="E245" s="33" t="n"/>
      <c r="F245" s="33" t="n"/>
      <c r="G245" s="33" t="n"/>
    </row>
    <row r="246" ht="41" customHeight="1" s="26">
      <c r="A246" s="27" t="inlineStr">
        <is>
          <t>2026-03-13_03-03-32</t>
        </is>
      </c>
      <c r="B246" s="27" t="inlineStr">
        <is>
          <t>1773371990504_1773372010405</t>
        </is>
      </c>
      <c r="C246" s="27" t="n">
        <v>1773372005805</v>
      </c>
      <c r="D246" s="32">
        <f>IMAGE("https://liskibruh.github.io/l4_data_sheets_table_images_mapper/l4_problematic_frames/xl/media/image509.png")</f>
        <v/>
      </c>
      <c r="E246" s="30" t="n"/>
      <c r="F246" s="30" t="n"/>
      <c r="G246" s="27" t="inlineStr">
        <is>
          <t>Missing Static Object</t>
        </is>
      </c>
    </row>
    <row r="247" ht="17" customHeight="1" s="26">
      <c r="A247" s="33" t="n"/>
      <c r="B247" s="33" t="n"/>
      <c r="C247" s="33" t="n"/>
      <c r="D247" s="33" t="n"/>
      <c r="E247" s="33" t="n"/>
      <c r="F247" s="33" t="n"/>
      <c r="G247" s="33" t="n"/>
    </row>
    <row r="248" ht="41" customHeight="1" s="26">
      <c r="A248" s="27" t="inlineStr">
        <is>
          <t>2026-03-13_03-03-32</t>
        </is>
      </c>
      <c r="B248" s="27" t="inlineStr">
        <is>
          <t>1773371990504_1773372010405</t>
        </is>
      </c>
      <c r="C248" s="27" t="inlineStr">
        <is>
          <t>1773372005705_1773372005604</t>
        </is>
      </c>
      <c r="D248" s="32">
        <f>IMAGE("https://liskibruh.github.io/l4_data_sheets_table_images_mapper/l4_problematic_frames/xl/media/image510.png")</f>
        <v/>
      </c>
      <c r="E248" s="30" t="n"/>
      <c r="F248" s="30" t="n"/>
      <c r="G248" s="27" t="inlineStr">
        <is>
          <t>Missing Static Object</t>
        </is>
      </c>
    </row>
    <row r="249" ht="17" customHeight="1" s="26">
      <c r="A249" s="33" t="n"/>
      <c r="B249" s="33" t="n"/>
      <c r="C249" s="33" t="n"/>
      <c r="D249" s="33" t="n"/>
      <c r="E249" s="33" t="n"/>
      <c r="F249" s="33" t="n"/>
      <c r="G249" s="33" t="n"/>
    </row>
    <row r="250" ht="126" customHeight="1" s="26">
      <c r="A250" s="27" t="inlineStr">
        <is>
          <t>2026-03-13_03-03-32</t>
        </is>
      </c>
      <c r="B250" s="27" t="inlineStr">
        <is>
          <t>1773372010505_1773372030504</t>
        </is>
      </c>
      <c r="C250" s="27" t="inlineStr">
        <is>
          <t>1773372011604_1773372011704,1773372012404,1773372012304,1773372012204,1773372012104,</t>
        </is>
      </c>
      <c r="D250" s="32">
        <f>IMAGE("https://liskibruh.github.io/l4_data_sheets_table_images_mapper/l4_problematic_frames/xl/media/image511.png")</f>
        <v/>
      </c>
      <c r="E250" s="30" t="n"/>
      <c r="F250" s="30" t="n"/>
      <c r="G250" s="27" t="inlineStr">
        <is>
          <t>Miss Classification of Truck Orientation</t>
        </is>
      </c>
    </row>
    <row r="251" ht="17" customHeight="1" s="26">
      <c r="A251" s="33" t="n"/>
      <c r="B251" s="33" t="n"/>
      <c r="C251" s="33" t="n"/>
      <c r="D251" s="33" t="n"/>
      <c r="E251" s="33" t="n"/>
      <c r="F251" s="33" t="n"/>
      <c r="G251" s="33" t="n"/>
    </row>
    <row r="252" ht="41" customHeight="1" s="26">
      <c r="A252" s="27" t="inlineStr">
        <is>
          <t>2026-03-13_03-03-32</t>
        </is>
      </c>
      <c r="B252" s="27" t="inlineStr">
        <is>
          <t>1773372030604_1773372050505</t>
        </is>
      </c>
      <c r="C252" s="35" t="n">
        <v>1.77337204660517e+25</v>
      </c>
      <c r="D252" s="32">
        <f>IMAGE("https://liskibruh.github.io/l4_data_sheets_table_images_mapper/l4_problematic_frames/xl/media/image512.png")</f>
        <v/>
      </c>
      <c r="E252" s="30" t="n"/>
      <c r="F252" s="30" t="n"/>
      <c r="G252" s="27" t="inlineStr">
        <is>
          <t>Missed Car</t>
        </is>
      </c>
    </row>
    <row r="253" ht="17" customHeight="1" s="26">
      <c r="A253" s="33" t="n"/>
      <c r="B253" s="33" t="n"/>
      <c r="C253" s="33" t="n"/>
      <c r="D253" s="33" t="n"/>
      <c r="E253" s="33" t="n"/>
      <c r="F253" s="33" t="n"/>
      <c r="G253" s="33" t="n"/>
    </row>
    <row r="254" ht="114" customHeight="1" s="26">
      <c r="A254" s="27" t="inlineStr">
        <is>
          <t>2026-03-13_03-03-32</t>
        </is>
      </c>
      <c r="B254" s="4" t="inlineStr">
        <is>
          <t>1773372030604_1773372050505,</t>
        </is>
      </c>
      <c r="C254" s="4" t="inlineStr">
        <is>
          <t>1773372048804, 1773372048604_1773372049504,1773372065505,</t>
        </is>
      </c>
      <c r="D254" s="32">
        <f>IMAGE("https://liskibruh.github.io/l4_data_sheets_table_images_mapper/l4_problematic_frames/xl/media/image513.png")</f>
        <v/>
      </c>
      <c r="E254" s="30" t="n"/>
      <c r="F254" s="30" t="n"/>
      <c r="G254" s="27" t="inlineStr">
        <is>
          <t>Missed Car/Cars</t>
        </is>
      </c>
    </row>
    <row r="255" ht="57" customHeight="1" s="26">
      <c r="A255" s="34" t="n"/>
      <c r="B255" s="10" t="inlineStr">
        <is>
          <t>1773372050605_1773372070604</t>
        </is>
      </c>
      <c r="C255" s="10" t="inlineStr">
        <is>
          <t>1773372066055_1773372067404</t>
        </is>
      </c>
      <c r="D255" s="34" t="n"/>
      <c r="E255" s="34" t="n"/>
      <c r="F255" s="34" t="n"/>
      <c r="G255" s="34" t="n"/>
    </row>
    <row r="256" ht="17" customHeight="1" s="26">
      <c r="A256" s="33" t="n"/>
      <c r="B256" s="25" t="n"/>
      <c r="C256" s="6" t="n"/>
      <c r="D256" s="33" t="n"/>
      <c r="E256" s="33" t="n"/>
      <c r="F256" s="33" t="n"/>
      <c r="G256" s="33" t="n"/>
    </row>
    <row r="257" ht="41" customHeight="1" s="26">
      <c r="A257" s="27" t="inlineStr">
        <is>
          <t>2026-03-13_03-03-32</t>
        </is>
      </c>
      <c r="B257" s="27" t="inlineStr">
        <is>
          <t>1773372070704_1773372090605</t>
        </is>
      </c>
      <c r="C257" s="27" t="inlineStr">
        <is>
          <t>1773372080005_1773372080505</t>
        </is>
      </c>
      <c r="D257" s="32">
        <f>IMAGE("https://liskibruh.github.io/l4_data_sheets_table_images_mapper/l4_problematic_frames/xl/media/image514.png")</f>
        <v/>
      </c>
      <c r="E257" s="30" t="n"/>
      <c r="F257" s="30" t="n"/>
      <c r="G257" s="27" t="inlineStr">
        <is>
          <t>Missed Truck</t>
        </is>
      </c>
    </row>
    <row r="258" ht="17" customHeight="1" s="26">
      <c r="A258" s="33" t="n"/>
      <c r="B258" s="33" t="n"/>
      <c r="C258" s="33" t="n"/>
      <c r="D258" s="33" t="n"/>
      <c r="E258" s="33" t="n"/>
      <c r="F258" s="33" t="n"/>
      <c r="G258" s="33" t="n"/>
    </row>
    <row r="259" ht="41" customHeight="1" s="26">
      <c r="A259" s="27" t="inlineStr">
        <is>
          <t>2026-03-13_03-03-32</t>
        </is>
      </c>
      <c r="B259" s="27" t="inlineStr">
        <is>
          <t>1773372070704_1773372090605</t>
        </is>
      </c>
      <c r="C259" s="27" t="inlineStr">
        <is>
          <t>1773372083904_1773372083805</t>
        </is>
      </c>
      <c r="D259" s="32">
        <f>IMAGE("https://liskibruh.github.io/l4_data_sheets_table_images_mapper/l4_problematic_frames/xl/media/image515.png")</f>
        <v/>
      </c>
      <c r="E259" s="30" t="n"/>
      <c r="F259" s="30" t="n"/>
      <c r="G259" s="27" t="inlineStr">
        <is>
          <t>Missed Truck</t>
        </is>
      </c>
    </row>
    <row r="260" ht="17" customHeight="1" s="26">
      <c r="A260" s="33" t="n"/>
      <c r="B260" s="33" t="n"/>
      <c r="C260" s="33" t="n"/>
      <c r="D260" s="33" t="n"/>
      <c r="E260" s="33" t="n"/>
      <c r="F260" s="33" t="n"/>
      <c r="G260" s="33" t="n"/>
    </row>
    <row r="261" ht="41" customHeight="1" s="26">
      <c r="A261" s="27" t="inlineStr">
        <is>
          <t>2026-03-13_03-03-32</t>
        </is>
      </c>
      <c r="B261" s="27" t="inlineStr">
        <is>
          <t>1773372070704_1773372090605</t>
        </is>
      </c>
      <c r="C261" s="27" t="inlineStr">
        <is>
          <t>1773372083004_1773372084205</t>
        </is>
      </c>
      <c r="D261" s="32">
        <f>IMAGE("https://liskibruh.github.io/l4_data_sheets_table_images_mapper/l4_problematic_frames/xl/media/image516.png")</f>
        <v/>
      </c>
      <c r="E261" s="30" t="n"/>
      <c r="F261" s="30" t="n"/>
      <c r="G261" s="27" t="inlineStr">
        <is>
          <t>Missed Truck</t>
        </is>
      </c>
    </row>
    <row r="262" ht="17" customHeight="1" s="26">
      <c r="A262" s="33" t="n"/>
      <c r="B262" s="33" t="n"/>
      <c r="C262" s="33" t="n"/>
      <c r="D262" s="33" t="n"/>
      <c r="E262" s="33" t="n"/>
      <c r="F262" s="33" t="n"/>
      <c r="G262" s="33" t="n"/>
    </row>
    <row r="263" ht="57" customHeight="1" s="26">
      <c r="A263" s="27" t="inlineStr">
        <is>
          <t>2026-03-13_03-03-32</t>
        </is>
      </c>
      <c r="B263" s="27" t="inlineStr">
        <is>
          <t>1773372090705_1773372110604</t>
        </is>
      </c>
      <c r="C263" s="4" t="inlineStr">
        <is>
          <t>1773372095704_1773372096304</t>
        </is>
      </c>
      <c r="D263" s="32">
        <f>IMAGE("https://liskibruh.github.io/l4_data_sheets_table_images_mapper/l4_problematic_frames/xl/media/image517.png")</f>
        <v/>
      </c>
      <c r="E263" s="30" t="n"/>
      <c r="F263" s="30" t="n"/>
      <c r="G263" s="27" t="inlineStr">
        <is>
          <t>Miss Classification of Trucks Orientation</t>
        </is>
      </c>
    </row>
    <row r="264" ht="30" customHeight="1" s="26">
      <c r="A264" s="33" t="n"/>
      <c r="B264" s="33" t="n"/>
      <c r="C264" s="7" t="inlineStr">
        <is>
          <t>,1773372096504</t>
        </is>
      </c>
      <c r="D264" s="33" t="n"/>
      <c r="E264" s="33" t="n"/>
      <c r="F264" s="33" t="n"/>
      <c r="G264" s="33" t="n"/>
    </row>
    <row r="265" ht="84" customHeight="1" s="26">
      <c r="A265" s="27" t="inlineStr">
        <is>
          <t>2026-03-13_03-03-32</t>
        </is>
      </c>
      <c r="B265" s="27" t="inlineStr">
        <is>
          <t>1773372090705_1773372110604</t>
        </is>
      </c>
      <c r="C265" s="27" t="inlineStr">
        <is>
          <t>1773372109305,1773372109605,1773372109505,1773372110504,</t>
        </is>
      </c>
      <c r="D265" s="32">
        <f>IMAGE("https://liskibruh.github.io/l4_data_sheets_table_images_mapper/l4_problematic_frames/xl/media/image518.png")</f>
        <v/>
      </c>
      <c r="E265" s="30" t="n"/>
      <c r="F265" s="30" t="n"/>
      <c r="G265" s="27" t="inlineStr">
        <is>
          <t>Missed Truck</t>
        </is>
      </c>
    </row>
    <row r="266" ht="17" customHeight="1" s="26">
      <c r="A266" s="33" t="n"/>
      <c r="B266" s="33" t="n"/>
      <c r="C266" s="33" t="n"/>
      <c r="D266" s="33" t="n"/>
      <c r="E266" s="33" t="n"/>
      <c r="F266" s="33" t="n"/>
      <c r="G266" s="33" t="n"/>
    </row>
    <row r="267" ht="41" customHeight="1" s="26">
      <c r="A267" s="27" t="inlineStr">
        <is>
          <t>2026-03-13_03-03-32</t>
        </is>
      </c>
      <c r="B267" s="27" t="inlineStr">
        <is>
          <t>1773372110804_1773372130705</t>
        </is>
      </c>
      <c r="C267" s="27" t="n">
        <v>1773372122304</v>
      </c>
      <c r="D267" s="32">
        <f>IMAGE("https://liskibruh.github.io/l4_data_sheets_table_images_mapper/l4_problematic_frames/xl/media/image519.png")</f>
        <v/>
      </c>
      <c r="E267" s="30" t="n"/>
      <c r="F267" s="30" t="n"/>
      <c r="G267" s="27" t="inlineStr">
        <is>
          <t>Missed Cars</t>
        </is>
      </c>
    </row>
    <row r="268" ht="17" customHeight="1" s="26">
      <c r="A268" s="33" t="n"/>
      <c r="B268" s="33" t="n"/>
      <c r="C268" s="33" t="n"/>
      <c r="D268" s="33" t="n"/>
      <c r="E268" s="33" t="n"/>
      <c r="F268" s="33" t="n"/>
      <c r="G268" s="33" t="n"/>
    </row>
    <row r="269" ht="41" customHeight="1" s="26">
      <c r="A269" s="27" t="inlineStr">
        <is>
          <t>2026-03-13_03-03-32</t>
        </is>
      </c>
      <c r="B269" s="27" t="inlineStr">
        <is>
          <t>1773372130805_1773372150704</t>
        </is>
      </c>
      <c r="C269" s="27" t="inlineStr">
        <is>
          <t>1773372131804,</t>
        </is>
      </c>
      <c r="D269" s="32">
        <f>IMAGE("https://liskibruh.github.io/l4_data_sheets_table_images_mapper/l4_problematic_frames/xl/media/image520.png")</f>
        <v/>
      </c>
      <c r="E269" s="30" t="n"/>
      <c r="F269" s="30" t="n"/>
      <c r="G269" s="27" t="inlineStr">
        <is>
          <t>Missed Truck</t>
        </is>
      </c>
    </row>
    <row r="270" ht="17" customHeight="1" s="26">
      <c r="A270" s="33" t="n"/>
      <c r="B270" s="33" t="n"/>
      <c r="C270" s="33" t="n"/>
      <c r="D270" s="33" t="n"/>
      <c r="E270" s="33" t="n"/>
      <c r="F270" s="33" t="n"/>
      <c r="G270" s="33" t="n"/>
    </row>
    <row r="271" ht="41" customHeight="1" s="26">
      <c r="A271" s="27" t="inlineStr">
        <is>
          <t>2026-03-13_03-03-32</t>
        </is>
      </c>
      <c r="B271" s="27" t="inlineStr">
        <is>
          <t>1773372130805_1773372150704</t>
        </is>
      </c>
      <c r="C271" s="27" t="inlineStr">
        <is>
          <t>177372132404_1773372133304</t>
        </is>
      </c>
      <c r="D271" s="32">
        <f>IMAGE("https://liskibruh.github.io/l4_data_sheets_table_images_mapper/l4_problematic_frames/xl/media/image521.png")</f>
        <v/>
      </c>
      <c r="E271" s="30" t="n"/>
      <c r="F271" s="30" t="n"/>
      <c r="G271" s="27" t="inlineStr">
        <is>
          <t>Miss Classification of Car</t>
        </is>
      </c>
    </row>
    <row r="272" ht="17" customHeight="1" s="26">
      <c r="A272" s="33" t="n"/>
      <c r="B272" s="33" t="n"/>
      <c r="C272" s="33" t="n"/>
      <c r="D272" s="33" t="n"/>
      <c r="E272" s="33" t="n"/>
      <c r="F272" s="33" t="n"/>
      <c r="G272" s="33" t="n"/>
    </row>
    <row r="273" ht="41" customHeight="1" s="26">
      <c r="A273" s="27" t="inlineStr">
        <is>
          <t>2026-03-13_03-03-32</t>
        </is>
      </c>
      <c r="B273" s="27" t="inlineStr">
        <is>
          <t>1773372150904_1773372170705</t>
        </is>
      </c>
      <c r="C273" s="27" t="inlineStr">
        <is>
          <t>1773372143704_1773372153504</t>
        </is>
      </c>
      <c r="D273" s="32">
        <f>IMAGE("https://liskibruh.github.io/l4_data_sheets_table_images_mapper/l4_problematic_frames/xl/media/image522.png")</f>
        <v/>
      </c>
      <c r="E273" s="30" t="n"/>
      <c r="F273" s="30" t="n"/>
      <c r="G273" s="27" t="inlineStr">
        <is>
          <t>Missed Car/Cars</t>
        </is>
      </c>
    </row>
    <row r="274" ht="17" customHeight="1" s="26">
      <c r="A274" s="33" t="n"/>
      <c r="B274" s="33" t="n"/>
      <c r="C274" s="33" t="n"/>
      <c r="D274" s="33" t="n"/>
      <c r="E274" s="33" t="n"/>
      <c r="F274" s="33" t="n"/>
      <c r="G274" s="33" t="n"/>
    </row>
    <row r="275" ht="55" customHeight="1" s="26">
      <c r="A275" s="27" t="inlineStr">
        <is>
          <t>2026-03-13_03-03-32</t>
        </is>
      </c>
      <c r="B275" s="27" t="inlineStr">
        <is>
          <t>1773372150904_1773372170705</t>
        </is>
      </c>
      <c r="C275" s="27" t="inlineStr">
        <is>
          <t>1773372161105_1773372162005</t>
        </is>
      </c>
      <c r="D275" s="32">
        <f>IMAGE("https://liskibruh.github.io/l4_data_sheets_table_images_mapper/l4_problematic_frames/xl/media/image523.png")</f>
        <v/>
      </c>
      <c r="E275" s="30" t="n"/>
      <c r="F275" s="30" t="n"/>
      <c r="G275" s="27" t="inlineStr">
        <is>
          <t>MissClassification of Truck Orientation</t>
        </is>
      </c>
    </row>
    <row r="276" ht="17" customHeight="1" s="26">
      <c r="A276" s="33" t="n"/>
      <c r="B276" s="33" t="n"/>
      <c r="C276" s="33" t="n"/>
      <c r="D276" s="33" t="n"/>
      <c r="E276" s="33" t="n"/>
      <c r="F276" s="33" t="n"/>
      <c r="G276" s="33" t="n"/>
    </row>
    <row r="277" ht="41" customHeight="1" s="26">
      <c r="A277" s="27" t="inlineStr">
        <is>
          <t>2026-03-13_03-03-32</t>
        </is>
      </c>
      <c r="B277" s="27" t="inlineStr">
        <is>
          <t>1773372150904_1773372170705</t>
        </is>
      </c>
      <c r="C277" s="27" t="inlineStr">
        <is>
          <t>1773372163805_1773372164704</t>
        </is>
      </c>
      <c r="D277" s="32">
        <f>IMAGE("https://liskibruh.github.io/l4_data_sheets_table_images_mapper/l4_problematic_frames/xl/media/image524.png")</f>
        <v/>
      </c>
      <c r="E277" s="30" t="n"/>
      <c r="F277" s="30" t="n"/>
      <c r="G277" s="27" t="inlineStr">
        <is>
          <t>Miss Classification of Truck</t>
        </is>
      </c>
    </row>
    <row r="278" ht="17" customHeight="1" s="26">
      <c r="A278" s="33" t="n"/>
      <c r="B278" s="33" t="n"/>
      <c r="C278" s="33" t="n"/>
      <c r="D278" s="33" t="n"/>
      <c r="E278" s="33" t="n"/>
      <c r="F278" s="33" t="n"/>
      <c r="G278" s="33" t="n"/>
    </row>
    <row r="279" ht="55" customHeight="1" s="26">
      <c r="A279" s="27" t="inlineStr">
        <is>
          <t>2026-03-13_03-03-32</t>
        </is>
      </c>
      <c r="B279" s="27" t="inlineStr">
        <is>
          <t>1773372170905_1773372190904</t>
        </is>
      </c>
      <c r="C279" s="27" t="inlineStr">
        <is>
          <t>1773372183904,1773372184005,1773372183804,</t>
        </is>
      </c>
      <c r="D279" s="32">
        <f>IMAGE("https://liskibruh.github.io/l4_data_sheets_table_images_mapper/l4_problematic_frames/xl/media/image525.png")</f>
        <v/>
      </c>
      <c r="E279" s="30" t="n"/>
      <c r="F279" s="30" t="n"/>
      <c r="G279" s="27" t="inlineStr">
        <is>
          <t>Missed Static Object</t>
        </is>
      </c>
    </row>
    <row r="280" ht="17" customHeight="1" s="26">
      <c r="A280" s="33" t="n"/>
      <c r="B280" s="33" t="n"/>
      <c r="C280" s="33" t="n"/>
      <c r="D280" s="33" t="n"/>
      <c r="E280" s="33" t="n"/>
      <c r="F280" s="33" t="n"/>
      <c r="G280" s="33" t="n"/>
    </row>
    <row r="281" ht="55" customHeight="1" s="26">
      <c r="A281" s="27" t="inlineStr">
        <is>
          <t>2026-03-13_03-03-32</t>
        </is>
      </c>
      <c r="B281" s="27" t="inlineStr">
        <is>
          <t>1773372211104_1773372231005</t>
        </is>
      </c>
      <c r="C281" s="27" t="inlineStr">
        <is>
          <t>1773372225004,1773372225104,17733722240904,</t>
        </is>
      </c>
      <c r="D281" s="32">
        <f>IMAGE("https://liskibruh.github.io/l4_data_sheets_table_images_mapper/l4_problematic_frames/xl/media/image526.png")</f>
        <v/>
      </c>
      <c r="E281" s="30" t="n"/>
      <c r="F281" s="30" t="n"/>
      <c r="G281" s="27" t="inlineStr">
        <is>
          <t>Missed Static Objects</t>
        </is>
      </c>
    </row>
    <row r="282" ht="17" customHeight="1" s="26">
      <c r="A282" s="33" t="n"/>
      <c r="B282" s="33" t="n"/>
      <c r="C282" s="33" t="n"/>
      <c r="D282" s="33" t="n"/>
      <c r="E282" s="33" t="n"/>
      <c r="F282" s="33" t="n"/>
      <c r="G282" s="33" t="n"/>
    </row>
    <row r="283" ht="57" customHeight="1" s="26">
      <c r="A283" s="27" t="inlineStr">
        <is>
          <t>2026-03-13_03-03-32</t>
        </is>
      </c>
      <c r="B283" s="4" t="inlineStr">
        <is>
          <t>1773372211104_1773372231005,</t>
        </is>
      </c>
      <c r="C283" s="27" t="inlineStr">
        <is>
          <t>1773372248004_1773372248805</t>
        </is>
      </c>
      <c r="D283" s="32">
        <f>IMAGE("https://liskibruh.github.io/l4_data_sheets_table_images_mapper/l4_problematic_frames/xl/media/image527.png")</f>
        <v/>
      </c>
      <c r="E283" s="30" t="n"/>
      <c r="F283" s="30" t="n"/>
      <c r="G283" s="27" t="inlineStr">
        <is>
          <t>Missed Static Objects</t>
        </is>
      </c>
    </row>
    <row r="284" ht="59" customHeight="1" s="26">
      <c r="A284" s="33" t="n"/>
      <c r="B284" s="7" t="inlineStr">
        <is>
          <t>1773372231105_1773372251004</t>
        </is>
      </c>
      <c r="C284" s="33" t="n"/>
      <c r="D284" s="33" t="n"/>
      <c r="E284" s="33" t="n"/>
      <c r="F284" s="33" t="n"/>
      <c r="G284" s="33" t="n"/>
    </row>
    <row r="285" ht="41" customHeight="1" s="26">
      <c r="A285" s="27" t="inlineStr">
        <is>
          <t>2026-03-13_03-03-32</t>
        </is>
      </c>
      <c r="B285" s="27" t="inlineStr">
        <is>
          <t>1773372231105_1773372251004</t>
        </is>
      </c>
      <c r="C285" s="27" t="inlineStr">
        <is>
          <t>1773372249105_1773372249305</t>
        </is>
      </c>
      <c r="D285" s="32">
        <f>IMAGE("https://liskibruh.github.io/l4_data_sheets_table_images_mapper/l4_problematic_frames/xl/media/image528.png")</f>
        <v/>
      </c>
      <c r="E285" s="30" t="n"/>
      <c r="F285" s="30" t="n"/>
      <c r="G285" s="27" t="inlineStr">
        <is>
          <t>Missed Truck</t>
        </is>
      </c>
    </row>
    <row r="286" ht="17" customHeight="1" s="26">
      <c r="A286" s="33" t="n"/>
      <c r="B286" s="33" t="n"/>
      <c r="C286" s="33" t="n"/>
      <c r="D286" s="33" t="n"/>
      <c r="E286" s="33" t="n"/>
      <c r="F286" s="33" t="n"/>
      <c r="G286" s="33" t="n"/>
    </row>
    <row r="287" ht="112" customHeight="1" s="26">
      <c r="A287" s="27" t="inlineStr">
        <is>
          <t>2026-03-13_03-03-32</t>
        </is>
      </c>
      <c r="B287" s="27" t="inlineStr">
        <is>
          <t>1773372251204_1773372271105</t>
        </is>
      </c>
      <c r="C287" s="27" t="inlineStr">
        <is>
          <t>1773372268104,1773372261604,1773372261504,1773372261704,1773372262705,</t>
        </is>
      </c>
      <c r="D287" s="32">
        <f>IMAGE("https://liskibruh.github.io/l4_data_sheets_table_images_mapper/l4_problematic_frames/xl/media/image529.png")</f>
        <v/>
      </c>
      <c r="E287" s="30" t="n"/>
      <c r="F287" s="30" t="n"/>
      <c r="G287" s="27" t="inlineStr">
        <is>
          <t>Missed Static Objects</t>
        </is>
      </c>
    </row>
    <row r="288" ht="17" customHeight="1" s="26">
      <c r="A288" s="33" t="n"/>
      <c r="B288" s="33" t="n"/>
      <c r="C288" s="33" t="n"/>
      <c r="D288" s="33" t="n"/>
      <c r="E288" s="33" t="n"/>
      <c r="F288" s="33" t="n"/>
      <c r="G288" s="33" t="n"/>
    </row>
    <row r="289" ht="41" customHeight="1" s="26">
      <c r="A289" s="27" t="inlineStr">
        <is>
          <t>2026-03-13_03-03-32</t>
        </is>
      </c>
      <c r="B289" s="27" t="inlineStr">
        <is>
          <t>1773372251204_1773372271105</t>
        </is>
      </c>
      <c r="C289" s="27" t="n">
        <v>1773372347705</v>
      </c>
      <c r="D289" s="32">
        <f>IMAGE("https://liskibruh.github.io/l4_data_sheets_table_images_mapper/l4_problematic_frames/xl/media/image530.png")</f>
        <v/>
      </c>
      <c r="E289" s="30" t="n"/>
      <c r="F289" s="30" t="n"/>
      <c r="G289" s="27" t="inlineStr">
        <is>
          <t>Missed Truck</t>
        </is>
      </c>
    </row>
    <row r="290" ht="17" customHeight="1" s="26">
      <c r="A290" s="33" t="n"/>
      <c r="B290" s="33" t="n"/>
      <c r="C290" s="33" t="n"/>
      <c r="D290" s="33" t="n"/>
      <c r="E290" s="33" t="n"/>
      <c r="F290" s="33" t="n"/>
      <c r="G290" s="33" t="n"/>
    </row>
    <row r="291" ht="41" customHeight="1" s="26">
      <c r="A291" s="27" t="inlineStr">
        <is>
          <t>2026-03-13_03-03-32</t>
        </is>
      </c>
      <c r="B291" s="27" t="inlineStr">
        <is>
          <t>1773371368705_1773371388704</t>
        </is>
      </c>
      <c r="C291" s="27" t="n">
        <v>1773371376904</v>
      </c>
      <c r="D291" s="32">
        <f>IMAGE("https://liskibruh.github.io/l4_data_sheets_table_images_mapper/l4_problematic_frames/xl/media/image531.png")</f>
        <v/>
      </c>
      <c r="E291" s="32">
        <f>IMAGE("https://liskibruh.github.io/l4_data_sheets_table_images_mapper/l4_problematic_frames/xl/media/image532.png")</f>
        <v/>
      </c>
      <c r="F291" s="30" t="n"/>
      <c r="G291" s="27" t="inlineStr">
        <is>
          <t>Missing Truck</t>
        </is>
      </c>
    </row>
    <row r="292" ht="17" customHeight="1" s="26">
      <c r="A292" s="33" t="n"/>
      <c r="B292" s="33" t="n"/>
      <c r="C292" s="33" t="n"/>
      <c r="D292" s="33" t="n"/>
      <c r="E292" s="33" t="n"/>
      <c r="F292" s="33" t="n"/>
      <c r="G292" s="33" t="n"/>
    </row>
    <row r="293" ht="41" customHeight="1" s="26">
      <c r="A293" s="27" t="inlineStr">
        <is>
          <t>2026-03-13_03-03-32</t>
        </is>
      </c>
      <c r="B293" s="27" t="inlineStr">
        <is>
          <t>1773371368705_1773371388704</t>
        </is>
      </c>
      <c r="C293" s="27" t="inlineStr">
        <is>
          <t>1773371377304 - 1773371378204</t>
        </is>
      </c>
      <c r="D293" s="32">
        <f>IMAGE("https://liskibruh.github.io/l4_data_sheets_table_images_mapper/l4_problematic_frames/xl/media/image533.png")</f>
        <v/>
      </c>
      <c r="E293" s="32">
        <f>IMAGE("https://liskibruh.github.io/l4_data_sheets_table_images_mapper/l4_problematic_frames/xl/media/image534.png")</f>
        <v/>
      </c>
      <c r="F293" s="30" t="n"/>
      <c r="G293" s="27" t="inlineStr">
        <is>
          <t>False Positive Truck</t>
        </is>
      </c>
    </row>
    <row r="294" ht="17" customHeight="1" s="26">
      <c r="A294" s="33" t="n"/>
      <c r="B294" s="33" t="n"/>
      <c r="C294" s="33" t="n"/>
      <c r="D294" s="33" t="n"/>
      <c r="E294" s="33" t="n"/>
      <c r="F294" s="33" t="n"/>
      <c r="G294" s="33" t="n"/>
    </row>
    <row r="295" ht="41" customHeight="1" s="26">
      <c r="A295" s="27" t="inlineStr">
        <is>
          <t>2026-03-13_03-03-32</t>
        </is>
      </c>
      <c r="B295" s="27" t="inlineStr">
        <is>
          <t>1773371368705_1773371388704</t>
        </is>
      </c>
      <c r="C295" s="27" t="inlineStr">
        <is>
          <t>1773371381504 - 1773371382505</t>
        </is>
      </c>
      <c r="D295" s="32">
        <f>IMAGE("https://liskibruh.github.io/l4_data_sheets_table_images_mapper/l4_problematic_frames/xl/media/image535.png")</f>
        <v/>
      </c>
      <c r="E295" s="32">
        <f>IMAGE("https://liskibruh.github.io/l4_data_sheets_table_images_mapper/l4_problematic_frames/xl/media/image536.png")</f>
        <v/>
      </c>
      <c r="F295" s="30" t="n"/>
      <c r="G295" s="27" t="inlineStr">
        <is>
          <t>Missing Car</t>
        </is>
      </c>
    </row>
    <row r="296" ht="17" customHeight="1" s="26">
      <c r="A296" s="33" t="n"/>
      <c r="B296" s="33" t="n"/>
      <c r="C296" s="33" t="n"/>
      <c r="D296" s="33" t="n"/>
      <c r="E296" s="33" t="n"/>
      <c r="F296" s="33" t="n"/>
      <c r="G296" s="33" t="n"/>
    </row>
    <row r="297" ht="410" customHeight="1" s="26">
      <c r="A297" s="27" t="inlineStr">
        <is>
          <t>2026-03-13_03-03-32 and 2026-03-13_03-03-32</t>
        </is>
      </c>
      <c r="B297" s="27" t="inlineStr">
        <is>
          <t>1773371408805_1773371428704</t>
        </is>
      </c>
      <c r="C297" s="27" t="inlineStr">
        <is>
          <t>1773371383704 - 1773371390904, 1773371392104 - 1773371394904, 1773371395105, 1773371398604 - 1773371399504, 1773371400705 - 1773371403804, 1773371407104 - 1773371408705, 1773371410005 - 1773371411004, 1773371414304 - 1773371415204</t>
        </is>
      </c>
      <c r="D297" s="32">
        <f>IMAGE("https://liskibruh.github.io/l4_data_sheets_table_images_mapper/l4_problematic_frames/xl/media/image537.png")</f>
        <v/>
      </c>
      <c r="E297" s="32">
        <f>IMAGE("https://liskibruh.github.io/l4_data_sheets_table_images_mapper/l4_problematic_frames/xl/media/image538.png")</f>
        <v/>
      </c>
      <c r="F297" s="30" t="n"/>
      <c r="G297" s="27" t="inlineStr">
        <is>
          <t>False Positive Trucks</t>
        </is>
      </c>
    </row>
    <row r="298" ht="17" customHeight="1" s="26">
      <c r="A298" s="33" t="n"/>
      <c r="B298" s="33" t="n"/>
      <c r="C298" s="33" t="n"/>
      <c r="D298" s="33" t="n"/>
      <c r="E298" s="33" t="n"/>
      <c r="F298" s="33" t="n"/>
      <c r="G298" s="33" t="n"/>
    </row>
    <row r="299" ht="41" customHeight="1" s="26">
      <c r="A299" s="27" t="inlineStr">
        <is>
          <t>2026-03-13_03-03-32</t>
        </is>
      </c>
      <c r="B299" s="27" t="inlineStr">
        <is>
          <t>1773371408805_1773371428704</t>
        </is>
      </c>
      <c r="C299" s="27" t="inlineStr">
        <is>
          <t>1773371421604 - 1773371422604</t>
        </is>
      </c>
      <c r="D299" s="32">
        <f>IMAGE("https://liskibruh.github.io/l4_data_sheets_table_images_mapper/l4_problematic_frames/xl/media/image539.png")</f>
        <v/>
      </c>
      <c r="E299" s="32">
        <f>IMAGE("https://liskibruh.github.io/l4_data_sheets_table_images_mapper/l4_problematic_frames/xl/media/image540.png")</f>
        <v/>
      </c>
      <c r="F299" s="30" t="n"/>
      <c r="G299" s="27" t="inlineStr">
        <is>
          <t>Misoriented Direction of Truck</t>
        </is>
      </c>
    </row>
    <row r="300" ht="17" customHeight="1" s="26">
      <c r="A300" s="33" t="n"/>
      <c r="B300" s="33" t="n"/>
      <c r="C300" s="33" t="n"/>
      <c r="D300" s="33" t="n"/>
      <c r="E300" s="33" t="n"/>
      <c r="F300" s="33" t="n"/>
      <c r="G300" s="33" t="n"/>
    </row>
    <row r="301" ht="98" customHeight="1" s="26">
      <c r="A301" s="27" t="inlineStr">
        <is>
          <t>2026-03-13_03-03-32</t>
        </is>
      </c>
      <c r="B301" s="27" t="inlineStr">
        <is>
          <t>1773371408805_1773371428704</t>
        </is>
      </c>
      <c r="C301" s="27" t="inlineStr">
        <is>
          <t>1773371422705 - 1773371423705, 1773371427004 - 1773371427904</t>
        </is>
      </c>
      <c r="D301" s="32">
        <f>IMAGE("https://liskibruh.github.io/l4_data_sheets_table_images_mapper/l4_problematic_frames/xl/media/image541.png")</f>
        <v/>
      </c>
      <c r="E301" s="32">
        <f>IMAGE("https://liskibruh.github.io/l4_data_sheets_table_images_mapper/l4_problematic_frames/xl/media/image542.png")</f>
        <v/>
      </c>
      <c r="F301" s="30" t="n"/>
      <c r="G301" s="27" t="inlineStr">
        <is>
          <t>Missing Static Objects</t>
        </is>
      </c>
    </row>
    <row r="302" ht="17" customHeight="1" s="26">
      <c r="A302" s="33" t="n"/>
      <c r="B302" s="33" t="n"/>
      <c r="C302" s="33" t="n"/>
      <c r="D302" s="33" t="n"/>
      <c r="E302" s="33" t="n"/>
      <c r="F302" s="33" t="n"/>
      <c r="G302" s="33" t="n"/>
    </row>
    <row r="303" ht="432" customHeight="1" s="26">
      <c r="A303" s="27" t="inlineStr">
        <is>
          <t>2026-03-13_03-03-32</t>
        </is>
      </c>
      <c r="B303" s="27" t="inlineStr">
        <is>
          <t>1773371428904_1773371448805</t>
        </is>
      </c>
      <c r="C303" s="27" t="inlineStr">
        <is>
          <t>1773371434000, 1773371434703, 1773371434903, 1773371435303, 1773371435503, 1773371437803, 1773371438403, 1773371438703, 1773371440700, 1773371441200, 1773371441903, 1773371442503, 1773371443503, 1773371443803, 1773371444103, 1773371445000, 1773371446100, 1773371446700</t>
        </is>
      </c>
      <c r="D303" s="32">
        <f>IMAGE("https://liskibruh.github.io/l4_data_sheets_table_images_mapper/l4_problematic_frames/xl/media/image543.png")</f>
        <v/>
      </c>
      <c r="E303" s="32">
        <f>IMAGE("https://liskibruh.github.io/l4_data_sheets_table_images_mapper/l4_problematic_frames/xl/media/image544.png")</f>
        <v/>
      </c>
      <c r="F303" s="30" t="n"/>
      <c r="G303" s="27" t="inlineStr">
        <is>
          <t>Missing LiDAR Points</t>
        </is>
      </c>
    </row>
    <row r="304" ht="17" customHeight="1" s="26">
      <c r="A304" s="33" t="n"/>
      <c r="B304" s="33" t="n"/>
      <c r="C304" s="33" t="n"/>
      <c r="D304" s="33" t="n"/>
      <c r="E304" s="33" t="n"/>
      <c r="F304" s="33" t="n"/>
      <c r="G304" s="33" t="n"/>
    </row>
    <row r="305" ht="41" customHeight="1" s="26">
      <c r="A305" s="27" t="inlineStr">
        <is>
          <t>2026-03-13_03-03-32</t>
        </is>
      </c>
      <c r="B305" s="27" t="inlineStr">
        <is>
          <t>1773371428904_1773371448805</t>
        </is>
      </c>
      <c r="C305" s="27" t="n">
        <v>1773371446804</v>
      </c>
      <c r="D305" s="32">
        <f>IMAGE("https://liskibruh.github.io/l4_data_sheets_table_images_mapper/l4_problematic_frames/xl/media/image545.png")</f>
        <v/>
      </c>
      <c r="E305" s="32">
        <f>IMAGE("https://liskibruh.github.io/l4_data_sheets_table_images_mapper/l4_problematic_frames/xl/media/image546.png")</f>
        <v/>
      </c>
      <c r="F305" s="30" t="n"/>
      <c r="G305" s="27" t="inlineStr">
        <is>
          <t>Missing Truck</t>
        </is>
      </c>
    </row>
    <row r="306" ht="17" customHeight="1" s="26">
      <c r="A306" s="33" t="n"/>
      <c r="B306" s="33" t="n"/>
      <c r="C306" s="33" t="n"/>
      <c r="D306" s="33" t="n"/>
      <c r="E306" s="33" t="n"/>
      <c r="F306" s="33" t="n"/>
      <c r="G306" s="33" t="n"/>
    </row>
    <row r="307" ht="41" customHeight="1" s="26">
      <c r="A307" s="27" t="inlineStr">
        <is>
          <t>2026-03-13_03-03-32</t>
        </is>
      </c>
      <c r="B307" s="27" t="inlineStr">
        <is>
          <t>1773371428904_1773371448805</t>
        </is>
      </c>
      <c r="C307" s="27" t="inlineStr">
        <is>
          <t xml:space="preserve">1773371447503, </t>
        </is>
      </c>
      <c r="D307" s="32">
        <f>IMAGE("https://liskibruh.github.io/l4_data_sheets_table_images_mapper/l4_problematic_frames/xl/media/image547.png")</f>
        <v/>
      </c>
      <c r="E307" s="32">
        <f>IMAGE("https://liskibruh.github.io/l4_data_sheets_table_images_mapper/l4_problematic_frames/xl/media/image548.png")</f>
        <v/>
      </c>
      <c r="F307" s="30" t="n"/>
      <c r="G307" s="27" t="inlineStr">
        <is>
          <t>Missing LiDAR Points</t>
        </is>
      </c>
    </row>
    <row r="308" ht="17" customHeight="1" s="26">
      <c r="A308" s="33" t="n"/>
      <c r="B308" s="33" t="n"/>
      <c r="C308" s="33" t="n"/>
      <c r="D308" s="33" t="n"/>
      <c r="E308" s="33" t="n"/>
      <c r="F308" s="33" t="n"/>
      <c r="G308" s="33" t="n"/>
    </row>
    <row r="309" ht="41" customHeight="1" s="26">
      <c r="A309" s="27" t="inlineStr">
        <is>
          <t>2026-03-13_03-03-32</t>
        </is>
      </c>
      <c r="B309" s="27" t="inlineStr">
        <is>
          <t>1773371428904_1773371448805</t>
        </is>
      </c>
      <c r="C309" s="27" t="n">
        <v>1773371447905</v>
      </c>
      <c r="D309" s="32">
        <f>IMAGE("https://liskibruh.github.io/l4_data_sheets_table_images_mapper/l4_problematic_frames/xl/media/image549.png")</f>
        <v/>
      </c>
      <c r="E309" s="32">
        <f>IMAGE("https://liskibruh.github.io/l4_data_sheets_table_images_mapper/l4_problematic_frames/xl/media/image550.png")</f>
        <v/>
      </c>
      <c r="F309" s="30" t="n"/>
      <c r="G309" s="27" t="inlineStr">
        <is>
          <t>Missing Truck</t>
        </is>
      </c>
    </row>
    <row r="310" ht="17" customHeight="1" s="26">
      <c r="A310" s="33" t="n"/>
      <c r="B310" s="33" t="n"/>
      <c r="C310" s="33" t="n"/>
      <c r="D310" s="33" t="n"/>
      <c r="E310" s="33" t="n"/>
      <c r="F310" s="33" t="n"/>
      <c r="G310" s="33" t="n"/>
    </row>
    <row r="311" ht="155" customHeight="1" s="26">
      <c r="A311" s="27" t="inlineStr">
        <is>
          <t>2026-03-13_03-03-32</t>
        </is>
      </c>
      <c r="B311" s="27" t="inlineStr">
        <is>
          <t>1773371448905_1773371468904</t>
        </is>
      </c>
      <c r="C311" s="27" t="inlineStr">
        <is>
          <t>1773371448103, 1773371449700, 1773371449804, 1773371450903, 1773371451203, 1773371451703</t>
        </is>
      </c>
      <c r="D311" s="32">
        <f>IMAGE("https://liskibruh.github.io/l4_data_sheets_table_images_mapper/l4_problematic_frames/xl/media/image551.png")</f>
        <v/>
      </c>
      <c r="E311" s="32">
        <f>IMAGE("https://liskibruh.github.io/l4_data_sheets_table_images_mapper/l4_problematic_frames/xl/media/image552.png")</f>
        <v/>
      </c>
      <c r="F311" s="32">
        <f>IMAGE("https://liskibruh.github.io/l4_data_sheets_table_images_mapper/l4_problematic_frames/xl/media/image553.png")</f>
        <v/>
      </c>
      <c r="G311" s="27" t="inlineStr">
        <is>
          <t>Missing LiDAR Points/ Missing Truck</t>
        </is>
      </c>
    </row>
    <row r="312" ht="17" customHeight="1" s="26">
      <c r="A312" s="33" t="n"/>
      <c r="B312" s="33" t="n"/>
      <c r="C312" s="33" t="n"/>
      <c r="D312" s="33" t="n"/>
      <c r="E312" s="33" t="n"/>
      <c r="F312" s="33" t="n"/>
      <c r="G312" s="33" t="n"/>
    </row>
    <row r="313" ht="41" customHeight="1" s="26">
      <c r="A313" s="27" t="inlineStr">
        <is>
          <t>2026-03-13_03-03-32</t>
        </is>
      </c>
      <c r="B313" s="27" t="inlineStr">
        <is>
          <t>1773371448905_1773371468904</t>
        </is>
      </c>
      <c r="C313" s="27" t="inlineStr">
        <is>
          <t>1773371451905 - 1773371452805</t>
        </is>
      </c>
      <c r="D313" s="32">
        <f>IMAGE("https://liskibruh.github.io/l4_data_sheets_table_images_mapper/l4_problematic_frames/xl/media/image554.png")</f>
        <v/>
      </c>
      <c r="E313" s="32">
        <f>IMAGE("https://liskibruh.github.io/l4_data_sheets_table_images_mapper/l4_problematic_frames/xl/media/image555.png")</f>
        <v/>
      </c>
      <c r="F313" s="30" t="n"/>
      <c r="G313" s="27" t="inlineStr">
        <is>
          <t>Missing Trucks</t>
        </is>
      </c>
    </row>
    <row r="314" ht="17" customHeight="1" s="26">
      <c r="A314" s="33" t="n"/>
      <c r="B314" s="33" t="n"/>
      <c r="C314" s="33" t="n"/>
      <c r="D314" s="33" t="n"/>
      <c r="E314" s="33" t="n"/>
      <c r="F314" s="33" t="n"/>
      <c r="G314" s="33" t="n"/>
    </row>
    <row r="315" ht="41" customHeight="1" s="26">
      <c r="A315" s="27" t="inlineStr">
        <is>
          <t>2026-03-13_03-03-32</t>
        </is>
      </c>
      <c r="B315" s="27" t="inlineStr">
        <is>
          <t>1773371448905_1773371468904</t>
        </is>
      </c>
      <c r="C315" s="27" t="inlineStr">
        <is>
          <t>1773371455705 - 1773371456605</t>
        </is>
      </c>
      <c r="D315" s="32">
        <f>IMAGE("https://liskibruh.github.io/l4_data_sheets_table_images_mapper/l4_problematic_frames/xl/media/image556.png")</f>
        <v/>
      </c>
      <c r="E315" s="32">
        <f>IMAGE("https://liskibruh.github.io/l4_data_sheets_table_images_mapper/l4_problematic_frames/xl/media/image557.png")</f>
        <v/>
      </c>
      <c r="F315" s="30" t="n"/>
      <c r="G315" s="27" t="inlineStr">
        <is>
          <t>Misoriented Direction of Truck</t>
        </is>
      </c>
    </row>
    <row r="316" ht="17" customHeight="1" s="26">
      <c r="A316" s="33" t="n"/>
      <c r="B316" s="33" t="n"/>
      <c r="C316" s="33" t="n"/>
      <c r="D316" s="33" t="n"/>
      <c r="E316" s="33" t="n"/>
      <c r="F316" s="33" t="n"/>
      <c r="G316" s="33" t="n"/>
    </row>
    <row r="317" ht="41" customHeight="1" s="26">
      <c r="A317" s="27" t="inlineStr">
        <is>
          <t>2026-03-13_03-03-32</t>
        </is>
      </c>
      <c r="B317" s="27" t="inlineStr">
        <is>
          <t>1773371448905_1773371468904</t>
        </is>
      </c>
      <c r="C317" s="27" t="inlineStr">
        <is>
          <t>1773371457904 - 1773371458905</t>
        </is>
      </c>
      <c r="D317" s="32">
        <f>IMAGE("https://liskibruh.github.io/l4_data_sheets_table_images_mapper/l4_problematic_frames/xl/media/image558.png")</f>
        <v/>
      </c>
      <c r="E317" s="32">
        <f>IMAGE("https://liskibruh.github.io/l4_data_sheets_table_images_mapper/l4_problematic_frames/xl/media/image559.png")</f>
        <v/>
      </c>
      <c r="F317" s="30" t="n"/>
      <c r="G317" s="27" t="inlineStr">
        <is>
          <t>Missing Trucks</t>
        </is>
      </c>
    </row>
    <row r="318" ht="17" customHeight="1" s="26">
      <c r="A318" s="33" t="n"/>
      <c r="B318" s="33" t="n"/>
      <c r="C318" s="33" t="n"/>
      <c r="D318" s="33" t="n"/>
      <c r="E318" s="33" t="n"/>
      <c r="F318" s="33" t="n"/>
      <c r="G318" s="33" t="n"/>
    </row>
    <row r="319" ht="212" customHeight="1" s="26">
      <c r="A319" s="27" t="inlineStr">
        <is>
          <t>2026-03-13_03-03-32</t>
        </is>
      </c>
      <c r="B319" s="27" t="inlineStr">
        <is>
          <t>1773371448905_1773371468904</t>
        </is>
      </c>
      <c r="C319" s="27" t="inlineStr">
        <is>
          <t>1773371461105 - 1773371462004, 1773371463204, 1773371463304, 1773371463505, 1773371463605, 1773371463905 - 1773371464205</t>
        </is>
      </c>
      <c r="D319" s="32">
        <f>IMAGE("https://liskibruh.github.io/l4_data_sheets_table_images_mapper/l4_problematic_frames/xl/media/image560.png")</f>
        <v/>
      </c>
      <c r="E319" s="32">
        <f>IMAGE("https://liskibruh.github.io/l4_data_sheets_table_images_mapper/l4_problematic_frames/xl/media/image561.png")</f>
        <v/>
      </c>
      <c r="F319" s="30" t="n"/>
      <c r="G319" s="27" t="inlineStr">
        <is>
          <t>False Positive Static Objects</t>
        </is>
      </c>
    </row>
    <row r="320" ht="17" customHeight="1" s="26">
      <c r="A320" s="33" t="n"/>
      <c r="B320" s="33" t="n"/>
      <c r="C320" s="33" t="n"/>
      <c r="D320" s="33" t="n"/>
      <c r="E320" s="33" t="n"/>
      <c r="F320" s="33" t="n"/>
      <c r="G320" s="33" t="n"/>
    </row>
    <row r="321" ht="41" customHeight="1" s="26">
      <c r="A321" s="27" t="inlineStr">
        <is>
          <t>2026-03-13_03-03-32</t>
        </is>
      </c>
      <c r="B321" s="27" t="inlineStr">
        <is>
          <t>1773371469104_1773371489004</t>
        </is>
      </c>
      <c r="C321" s="27" t="inlineStr">
        <is>
          <t>1773371471505 - 1773371473905</t>
        </is>
      </c>
      <c r="D321" s="32">
        <f>IMAGE("https://liskibruh.github.io/l4_data_sheets_table_images_mapper/l4_problematic_frames/xl/media/image562.png")</f>
        <v/>
      </c>
      <c r="E321" s="32">
        <f>IMAGE("https://liskibruh.github.io/l4_data_sheets_table_images_mapper/l4_problematic_frames/xl/media/image563.png")</f>
        <v/>
      </c>
      <c r="F321" s="30" t="n"/>
      <c r="G321" s="27" t="inlineStr">
        <is>
          <t>False Positive Trucks</t>
        </is>
      </c>
    </row>
    <row r="322" ht="17" customHeight="1" s="26">
      <c r="A322" s="33" t="n"/>
      <c r="B322" s="33" t="n"/>
      <c r="C322" s="33" t="n"/>
      <c r="D322" s="33" t="n"/>
      <c r="E322" s="33" t="n"/>
      <c r="F322" s="33" t="n"/>
      <c r="G322" s="33" t="n"/>
    </row>
    <row r="323" ht="41" customHeight="1" s="26">
      <c r="A323" s="27" t="inlineStr">
        <is>
          <t>2026-03-13_03-03-32</t>
        </is>
      </c>
      <c r="B323" s="27" t="inlineStr">
        <is>
          <t>1773371469104_1773371489004</t>
        </is>
      </c>
      <c r="C323" s="27" t="inlineStr">
        <is>
          <t>1773371475604, 1773371476005</t>
        </is>
      </c>
      <c r="D323" s="32">
        <f>IMAGE("https://liskibruh.github.io/l4_data_sheets_table_images_mapper/l4_problematic_frames/xl/media/image564.png")</f>
        <v/>
      </c>
      <c r="E323" s="32">
        <f>IMAGE("https://liskibruh.github.io/l4_data_sheets_table_images_mapper/l4_problematic_frames/xl/media/image565.png")</f>
        <v/>
      </c>
      <c r="F323" s="30" t="n"/>
      <c r="G323" s="27" t="inlineStr">
        <is>
          <t>Missing Static Object</t>
        </is>
      </c>
    </row>
    <row r="324" ht="17" customHeight="1" s="26">
      <c r="A324" s="33" t="n"/>
      <c r="B324" s="33" t="n"/>
      <c r="C324" s="33" t="n"/>
      <c r="D324" s="33" t="n"/>
      <c r="E324" s="33" t="n"/>
      <c r="F324" s="33" t="n"/>
      <c r="G324" s="33" t="n"/>
    </row>
    <row r="325" ht="155" customHeight="1" s="26">
      <c r="A325" s="27" t="inlineStr">
        <is>
          <t>2026-03-13_03-03-32</t>
        </is>
      </c>
      <c r="B325" s="27" t="inlineStr">
        <is>
          <t>1773371469104_1773371489004</t>
        </is>
      </c>
      <c r="C325" s="27" t="inlineStr">
        <is>
          <t>1773371476904 - 1773371479305, 1773371483005 - 1773371484104, 1773371487604 - 1773371489004</t>
        </is>
      </c>
      <c r="D325" s="32">
        <f>IMAGE("https://liskibruh.github.io/l4_data_sheets_table_images_mapper/l4_problematic_frames/xl/media/image566.png")</f>
        <v/>
      </c>
      <c r="E325" s="32">
        <f>IMAGE("https://liskibruh.github.io/l4_data_sheets_table_images_mapper/l4_problematic_frames/xl/media/image567.png")</f>
        <v/>
      </c>
      <c r="F325" s="30" t="n"/>
      <c r="G325" s="27" t="inlineStr">
        <is>
          <t>False Positive Truck</t>
        </is>
      </c>
    </row>
    <row r="326" ht="17" customHeight="1" s="26">
      <c r="A326" s="33" t="n"/>
      <c r="B326" s="33" t="n"/>
      <c r="C326" s="33" t="n"/>
      <c r="D326" s="33" t="n"/>
      <c r="E326" s="33" t="n"/>
      <c r="F326" s="33" t="n"/>
      <c r="G326" s="33" t="n"/>
    </row>
    <row r="327" ht="41" customHeight="1" s="26">
      <c r="A327" s="27" t="inlineStr">
        <is>
          <t>2026-03-13_03-03-32</t>
        </is>
      </c>
      <c r="B327" s="27" t="inlineStr">
        <is>
          <t>1773371489204_1773371509105</t>
        </is>
      </c>
      <c r="C327" s="27" t="inlineStr">
        <is>
          <t>1773371504505 - 1773371505304</t>
        </is>
      </c>
      <c r="D327" s="32">
        <f>IMAGE("https://liskibruh.github.io/l4_data_sheets_table_images_mapper/l4_problematic_frames/xl/media/image568.png")</f>
        <v/>
      </c>
      <c r="E327" s="32">
        <f>IMAGE("https://liskibruh.github.io/l4_data_sheets_table_images_mapper/l4_problematic_frames/xl/media/image569.png")</f>
        <v/>
      </c>
      <c r="F327" s="30" t="n"/>
      <c r="G327" s="27" t="inlineStr">
        <is>
          <t>Misoriented Direction of Trucks</t>
        </is>
      </c>
    </row>
    <row r="328" ht="17" customHeight="1" s="26">
      <c r="A328" s="33" t="n"/>
      <c r="B328" s="33" t="n"/>
      <c r="C328" s="33" t="n"/>
      <c r="D328" s="33" t="n"/>
      <c r="E328" s="33" t="n"/>
      <c r="F328" s="33" t="n"/>
      <c r="G328" s="33" t="n"/>
    </row>
    <row r="329" ht="55" customHeight="1" s="26">
      <c r="A329" s="27" t="inlineStr">
        <is>
          <t>2026-03-13_03-03-32</t>
        </is>
      </c>
      <c r="B329" s="27" t="inlineStr">
        <is>
          <t>1773371489204_1773371509105</t>
        </is>
      </c>
      <c r="C329" s="27" t="inlineStr">
        <is>
          <t>1773371507204 - 1773371508205</t>
        </is>
      </c>
      <c r="D329" s="32">
        <f>IMAGE("https://liskibruh.github.io/l4_data_sheets_table_images_mapper/l4_problematic_frames/xl/media/image570.png")</f>
        <v/>
      </c>
      <c r="E329" s="32">
        <f>IMAGE("https://liskibruh.github.io/l4_data_sheets_table_images_mapper/l4_problematic_frames/xl/media/image571.png")</f>
        <v/>
      </c>
      <c r="F329" s="30" t="n"/>
      <c r="G329" s="27" t="inlineStr">
        <is>
          <t>False Positive Truck + Missing Truck</t>
        </is>
      </c>
    </row>
    <row r="330" ht="17" customHeight="1" s="26">
      <c r="A330" s="33" t="n"/>
      <c r="B330" s="33" t="n"/>
      <c r="C330" s="33" t="n"/>
      <c r="D330" s="33" t="n"/>
      <c r="E330" s="33" t="n"/>
      <c r="F330" s="33" t="n"/>
      <c r="G330" s="33" t="n"/>
    </row>
    <row r="331" ht="41" customHeight="1" s="26">
      <c r="A331" s="27" t="inlineStr">
        <is>
          <t>2026-03-13_03-03-32</t>
        </is>
      </c>
      <c r="B331" s="27" t="inlineStr">
        <is>
          <t>1773371489204_1773371509105</t>
        </is>
      </c>
      <c r="C331" s="27" t="n">
        <v>1773371509105</v>
      </c>
      <c r="D331" s="32">
        <f>IMAGE("https://liskibruh.github.io/l4_data_sheets_table_images_mapper/l4_problematic_frames/xl/media/image572.png")</f>
        <v/>
      </c>
      <c r="E331" s="32">
        <f>IMAGE("https://liskibruh.github.io/l4_data_sheets_table_images_mapper/l4_problematic_frames/xl/media/image573.png")</f>
        <v/>
      </c>
      <c r="F331" s="30" t="n"/>
      <c r="G331" s="27" t="inlineStr">
        <is>
          <t>Missing Truck</t>
        </is>
      </c>
    </row>
    <row r="332" ht="17" customHeight="1" s="26">
      <c r="A332" s="33" t="n"/>
      <c r="B332" s="33" t="n"/>
      <c r="C332" s="33" t="n"/>
      <c r="D332" s="33" t="n"/>
      <c r="E332" s="33" t="n"/>
      <c r="F332" s="33" t="n"/>
      <c r="G332" s="33" t="n"/>
    </row>
    <row r="333" ht="41" customHeight="1" s="26">
      <c r="A333" s="27" t="inlineStr">
        <is>
          <t>2026-03-13_03-03-32</t>
        </is>
      </c>
      <c r="B333" s="27" t="inlineStr">
        <is>
          <t>1773371509204_1773371529104</t>
        </is>
      </c>
      <c r="C333" s="27" t="inlineStr">
        <is>
          <t>1773371510004 - 1773371510805</t>
        </is>
      </c>
      <c r="D333" s="32">
        <f>IMAGE("https://liskibruh.github.io/l4_data_sheets_table_images_mapper/l4_problematic_frames/xl/media/image574.png")</f>
        <v/>
      </c>
      <c r="E333" s="32">
        <f>IMAGE("https://liskibruh.github.io/l4_data_sheets_table_images_mapper/l4_problematic_frames/xl/media/image575.png")</f>
        <v/>
      </c>
      <c r="F333" s="30" t="n"/>
      <c r="G333" s="27" t="inlineStr">
        <is>
          <t>False Positive Static Objects</t>
        </is>
      </c>
    </row>
    <row r="334" ht="17" customHeight="1" s="26">
      <c r="A334" s="33" t="n"/>
      <c r="B334" s="33" t="n"/>
      <c r="C334" s="33" t="n"/>
      <c r="D334" s="33" t="n"/>
      <c r="E334" s="33" t="n"/>
      <c r="F334" s="33" t="n"/>
      <c r="G334" s="33" t="n"/>
    </row>
    <row r="335" ht="41" customHeight="1" s="26">
      <c r="A335" s="27" t="inlineStr">
        <is>
          <t>2026-03-13_03-03-32</t>
        </is>
      </c>
      <c r="B335" s="27" t="inlineStr">
        <is>
          <t>1773371509204_1773371529104</t>
        </is>
      </c>
      <c r="C335" s="27" t="inlineStr">
        <is>
          <t>1773371517805 - 1773371518705</t>
        </is>
      </c>
      <c r="D335" s="32">
        <f>IMAGE("https://liskibruh.github.io/l4_data_sheets_table_images_mapper/l4_problematic_frames/xl/media/image576.png")</f>
        <v/>
      </c>
      <c r="E335" s="32">
        <f>IMAGE("https://liskibruh.github.io/l4_data_sheets_table_images_mapper/l4_problematic_frames/xl/media/image577.png")</f>
        <v/>
      </c>
      <c r="F335" s="30" t="n"/>
      <c r="G335" s="27" t="inlineStr">
        <is>
          <t>Misoriented Direction of Truck</t>
        </is>
      </c>
    </row>
    <row r="336" ht="17" customHeight="1" s="26">
      <c r="A336" s="33" t="n"/>
      <c r="B336" s="33" t="n"/>
      <c r="C336" s="33" t="n"/>
      <c r="D336" s="33" t="n"/>
      <c r="E336" s="33" t="n"/>
      <c r="F336" s="33" t="n"/>
      <c r="G336" s="33" t="n"/>
    </row>
    <row r="337" ht="41" customHeight="1" s="26">
      <c r="A337" s="27" t="inlineStr">
        <is>
          <t>2026-03-13_03-03-32</t>
        </is>
      </c>
      <c r="B337" s="27" t="inlineStr">
        <is>
          <t>1773371509204_1773371529104</t>
        </is>
      </c>
      <c r="C337" s="27" t="inlineStr">
        <is>
          <t>1773371518805 - 1773371519904</t>
        </is>
      </c>
      <c r="D337" s="32">
        <f>IMAGE("https://liskibruh.github.io/l4_data_sheets_table_images_mapper/l4_problematic_frames/xl/media/image578.png")</f>
        <v/>
      </c>
      <c r="E337" s="32">
        <f>IMAGE("https://liskibruh.github.io/l4_data_sheets_table_images_mapper/l4_problematic_frames/xl/media/image576.png")</f>
        <v/>
      </c>
      <c r="F337" s="30" t="n"/>
      <c r="G337" s="27" t="inlineStr">
        <is>
          <t>False Positive Truck</t>
        </is>
      </c>
    </row>
    <row r="338" ht="17" customHeight="1" s="26">
      <c r="A338" s="33" t="n"/>
      <c r="B338" s="33" t="n"/>
      <c r="C338" s="33" t="n"/>
      <c r="D338" s="33" t="n"/>
      <c r="E338" s="33" t="n"/>
      <c r="F338" s="33" t="n"/>
      <c r="G338" s="33" t="n"/>
    </row>
    <row r="339" ht="41" customHeight="1" s="26">
      <c r="A339" s="27" t="inlineStr">
        <is>
          <t>2026-03-13_03-03-32</t>
        </is>
      </c>
      <c r="B339" s="27" t="inlineStr">
        <is>
          <t>1773371509204_1773371529104</t>
        </is>
      </c>
      <c r="C339" s="27" t="inlineStr">
        <is>
          <t>1773371523105 - 1773371523804</t>
        </is>
      </c>
      <c r="D339" s="32">
        <f>IMAGE("https://liskibruh.github.io/l4_data_sheets_table_images_mapper/l4_problematic_frames/xl/media/image579.png")</f>
        <v/>
      </c>
      <c r="E339" s="32">
        <f>IMAGE("https://liskibruh.github.io/l4_data_sheets_table_images_mapper/l4_problematic_frames/xl/media/image580.png")</f>
        <v/>
      </c>
      <c r="F339" s="30" t="n"/>
      <c r="G339" s="27" t="inlineStr">
        <is>
          <t>False Positive Truck</t>
        </is>
      </c>
    </row>
    <row r="340" ht="17" customHeight="1" s="26">
      <c r="A340" s="33" t="n"/>
      <c r="B340" s="33" t="n"/>
      <c r="C340" s="33" t="n"/>
      <c r="D340" s="33" t="n"/>
      <c r="E340" s="33" t="n"/>
      <c r="F340" s="33" t="n"/>
      <c r="G340" s="33" t="n"/>
    </row>
    <row r="341" ht="126" customHeight="1" s="26">
      <c r="A341" s="27" t="inlineStr">
        <is>
          <t>2026-03-13_03-03-32</t>
        </is>
      </c>
      <c r="B341" s="27" t="inlineStr">
        <is>
          <t>1773371509204_1773371529104</t>
        </is>
      </c>
      <c r="C341" s="27" t="inlineStr">
        <is>
          <t>1773371526105 - 1773371526305, 1773371526505, 1773371526605 - 1773371527504</t>
        </is>
      </c>
      <c r="D341" s="32">
        <f>IMAGE("https://liskibruh.github.io/l4_data_sheets_table_images_mapper/l4_problematic_frames/xl/media/image581.png")</f>
        <v/>
      </c>
      <c r="E341" s="32">
        <f>IMAGE("https://liskibruh.github.io/l4_data_sheets_table_images_mapper/l4_problematic_frames/xl/media/image582.png")</f>
        <v/>
      </c>
      <c r="F341" s="30" t="n"/>
      <c r="G341" s="27" t="inlineStr">
        <is>
          <t>False Positive Static Objects</t>
        </is>
      </c>
    </row>
    <row r="342" ht="17" customHeight="1" s="26">
      <c r="A342" s="33" t="n"/>
      <c r="B342" s="33" t="n"/>
      <c r="C342" s="33" t="n"/>
      <c r="D342" s="33" t="n"/>
      <c r="E342" s="33" t="n"/>
      <c r="F342" s="33" t="n"/>
      <c r="G342" s="33" t="n"/>
    </row>
    <row r="343" ht="41" customHeight="1" s="26">
      <c r="A343" s="27" t="inlineStr">
        <is>
          <t>2026-03-13_03-03-32</t>
        </is>
      </c>
      <c r="B343" s="27" t="inlineStr">
        <is>
          <t>1773371529204_1773371549200</t>
        </is>
      </c>
      <c r="C343" s="27" t="inlineStr">
        <is>
          <t>1773371530105 - 1773371532004</t>
        </is>
      </c>
      <c r="D343" s="32">
        <f>IMAGE("https://liskibruh.github.io/l4_data_sheets_table_images_mapper/l4_problematic_frames/xl/media/image583.png")</f>
        <v/>
      </c>
      <c r="E343" s="32">
        <f>IMAGE("https://liskibruh.github.io/l4_data_sheets_table_images_mapper/l4_problematic_frames/xl/media/image584.png")</f>
        <v/>
      </c>
      <c r="F343" s="30" t="n"/>
      <c r="G343" s="27" t="inlineStr">
        <is>
          <t>Missing Static Object</t>
        </is>
      </c>
    </row>
    <row r="344" ht="17" customHeight="1" s="26">
      <c r="A344" s="33" t="n"/>
      <c r="B344" s="33" t="n"/>
      <c r="C344" s="33" t="n"/>
      <c r="D344" s="33" t="n"/>
      <c r="E344" s="33" t="n"/>
      <c r="F344" s="33" t="n"/>
      <c r="G344" s="33" t="n"/>
    </row>
    <row r="345" ht="55" customHeight="1" s="26">
      <c r="A345" s="27" t="inlineStr">
        <is>
          <t>2026-03-13_03-03-32</t>
        </is>
      </c>
      <c r="B345" s="27" t="inlineStr">
        <is>
          <t>1773371529204_1773371549200</t>
        </is>
      </c>
      <c r="C345" s="27" t="inlineStr">
        <is>
          <t>1773371539304 - 1773371543905</t>
        </is>
      </c>
      <c r="D345" s="32">
        <f>IMAGE("https://liskibruh.github.io/l4_data_sheets_table_images_mapper/l4_problematic_frames/xl/media/image585.png")</f>
        <v/>
      </c>
      <c r="E345" s="32">
        <f>IMAGE("https://liskibruh.github.io/l4_data_sheets_table_images_mapper/l4_problematic_frames/xl/media/image586.png")</f>
        <v/>
      </c>
      <c r="F345" s="30" t="n"/>
      <c r="G345" s="27" t="inlineStr">
        <is>
          <t>Misoriented Direction of Truck + Missing Truck</t>
        </is>
      </c>
    </row>
    <row r="346" ht="17" customHeight="1" s="26">
      <c r="A346" s="33" t="n"/>
      <c r="B346" s="33" t="n"/>
      <c r="C346" s="33" t="n"/>
      <c r="D346" s="33" t="n"/>
      <c r="E346" s="33" t="n"/>
      <c r="F346" s="33" t="n"/>
      <c r="G346" s="33" t="n"/>
    </row>
    <row r="347" ht="41" customHeight="1" s="26">
      <c r="A347" s="27" t="inlineStr">
        <is>
          <t>2026-03-13_03-03-32</t>
        </is>
      </c>
      <c r="B347" s="27" t="inlineStr">
        <is>
          <t>1773371549205_1773371569204</t>
        </is>
      </c>
      <c r="C347" s="27" t="inlineStr">
        <is>
          <t>1773371550004 - 1773371550905</t>
        </is>
      </c>
      <c r="D347" s="32">
        <f>IMAGE("https://liskibruh.github.io/l4_data_sheets_table_images_mapper/l4_problematic_frames/xl/media/image587.png")</f>
        <v/>
      </c>
      <c r="E347" s="32">
        <f>IMAGE("https://liskibruh.github.io/l4_data_sheets_table_images_mapper/l4_problematic_frames/xl/media/image588.png")</f>
        <v/>
      </c>
      <c r="F347" s="30" t="n"/>
      <c r="G347" s="27" t="inlineStr">
        <is>
          <t>Misclassification of Truck as Car</t>
        </is>
      </c>
    </row>
    <row r="348" ht="17" customHeight="1" s="26">
      <c r="A348" s="33" t="n"/>
      <c r="B348" s="33" t="n"/>
      <c r="C348" s="33" t="n"/>
      <c r="D348" s="33" t="n"/>
      <c r="E348" s="33" t="n"/>
      <c r="F348" s="33" t="n"/>
      <c r="G348" s="33" t="n"/>
    </row>
    <row r="349" ht="41" customHeight="1" s="26">
      <c r="A349" s="27" t="inlineStr">
        <is>
          <t>2026-03-13_03-03-32</t>
        </is>
      </c>
      <c r="B349" s="27" t="inlineStr">
        <is>
          <t>1773371549205_1773371569204</t>
        </is>
      </c>
      <c r="C349" s="27" t="n">
        <v>1773371556804</v>
      </c>
      <c r="D349" s="32">
        <f>IMAGE("https://liskibruh.github.io/l4_data_sheets_table_images_mapper/l4_problematic_frames/xl/media/image589.png")</f>
        <v/>
      </c>
      <c r="E349" s="32">
        <f>IMAGE("https://liskibruh.github.io/l4_data_sheets_table_images_mapper/l4_problematic_frames/xl/media/image590.png")</f>
        <v/>
      </c>
      <c r="F349" s="30" t="n"/>
      <c r="G349" s="27" t="inlineStr">
        <is>
          <t>Missing Truck</t>
        </is>
      </c>
    </row>
    <row r="350" ht="17" customHeight="1" s="26">
      <c r="A350" s="33" t="n"/>
      <c r="B350" s="33" t="n"/>
      <c r="C350" s="33" t="n"/>
      <c r="D350" s="33" t="n"/>
      <c r="E350" s="33" t="n"/>
      <c r="F350" s="33" t="n"/>
      <c r="G350" s="33" t="n"/>
    </row>
    <row r="351" ht="41" customHeight="1" s="26">
      <c r="A351" s="27" t="inlineStr">
        <is>
          <t>2026-03-13_03-03-32</t>
        </is>
      </c>
      <c r="B351" s="27" t="inlineStr">
        <is>
          <t>1773371549205_1773371569204</t>
        </is>
      </c>
      <c r="C351" s="27" t="inlineStr">
        <is>
          <t>1773371559800, 1773371560000</t>
        </is>
      </c>
      <c r="D351" s="32">
        <f>IMAGE("https://liskibruh.github.io/l4_data_sheets_table_images_mapper/l4_problematic_frames/xl/media/image591.png")</f>
        <v/>
      </c>
      <c r="E351" s="30" t="n"/>
      <c r="F351" s="30" t="n"/>
      <c r="G351" s="27" t="inlineStr">
        <is>
          <t>Missing LiDAR Points</t>
        </is>
      </c>
    </row>
    <row r="352" ht="17" customHeight="1" s="26">
      <c r="A352" s="33" t="n"/>
      <c r="B352" s="33" t="n"/>
      <c r="C352" s="33" t="n"/>
      <c r="D352" s="33" t="n"/>
      <c r="E352" s="33" t="n"/>
      <c r="F352" s="33" t="n"/>
      <c r="G352" s="33" t="n"/>
    </row>
    <row r="353" ht="55" customHeight="1" s="26">
      <c r="A353" s="27" t="inlineStr">
        <is>
          <t>2026-03-13_03-03-32</t>
        </is>
      </c>
      <c r="B353" s="27" t="inlineStr">
        <is>
          <t>1773371549205_1773371569204</t>
        </is>
      </c>
      <c r="C353" s="27" t="inlineStr">
        <is>
          <t>1773371561404 - 1773371562405</t>
        </is>
      </c>
      <c r="D353" s="32">
        <f>IMAGE("https://liskibruh.github.io/l4_data_sheets_table_images_mapper/l4_problematic_frames/xl/media/image592.png")</f>
        <v/>
      </c>
      <c r="E353" s="32">
        <f>IMAGE("https://liskibruh.github.io/l4_data_sheets_table_images_mapper/l4_problematic_frames/xl/media/image593.png")</f>
        <v/>
      </c>
      <c r="F353" s="30" t="n"/>
      <c r="G353" s="27" t="inlineStr">
        <is>
          <t>Misclassification of Static Object as Car</t>
        </is>
      </c>
    </row>
    <row r="354" ht="17" customHeight="1" s="26">
      <c r="A354" s="33" t="n"/>
      <c r="B354" s="33" t="n"/>
      <c r="C354" s="33" t="n"/>
      <c r="D354" s="33" t="n"/>
      <c r="E354" s="33" t="n"/>
      <c r="F354" s="33" t="n"/>
      <c r="G354" s="33" t="n"/>
    </row>
    <row r="355" ht="41" customHeight="1" s="26">
      <c r="A355" s="27" t="inlineStr">
        <is>
          <t>2026-03-13_03-03-32</t>
        </is>
      </c>
      <c r="B355" s="27" t="inlineStr">
        <is>
          <t>1773371549205_1773371569204</t>
        </is>
      </c>
      <c r="C355" s="27" t="n">
        <v>1773371562200</v>
      </c>
      <c r="D355" s="32">
        <f>IMAGE("https://liskibruh.github.io/l4_data_sheets_table_images_mapper/l4_problematic_frames/xl/media/image594.png")</f>
        <v/>
      </c>
      <c r="E355" s="30" t="n"/>
      <c r="F355" s="30" t="n"/>
      <c r="G355" s="27" t="inlineStr">
        <is>
          <t>Missing LiDAR Points</t>
        </is>
      </c>
    </row>
    <row r="356" ht="17" customHeight="1" s="26">
      <c r="A356" s="33" t="n"/>
      <c r="B356" s="33" t="n"/>
      <c r="C356" s="33" t="n"/>
      <c r="D356" s="33" t="n"/>
      <c r="E356" s="33" t="n"/>
      <c r="F356" s="33" t="n"/>
      <c r="G356" s="33" t="n"/>
    </row>
    <row r="357" ht="55" customHeight="1" s="26">
      <c r="A357" s="27" t="inlineStr">
        <is>
          <t>2026-03-13_03-03-32</t>
        </is>
      </c>
      <c r="B357" s="27" t="inlineStr">
        <is>
          <t>1773371549205_1773371569204</t>
        </is>
      </c>
      <c r="C357" s="27" t="inlineStr">
        <is>
          <t>1773371561404 - 1773371562405</t>
        </is>
      </c>
      <c r="D357" s="32">
        <f>IMAGE("https://liskibruh.github.io/l4_data_sheets_table_images_mapper/l4_problematic_frames/xl/media/image595.png")</f>
        <v/>
      </c>
      <c r="E357" s="32">
        <f>IMAGE("https://liskibruh.github.io/l4_data_sheets_table_images_mapper/l4_problematic_frames/xl/media/image593.png")</f>
        <v/>
      </c>
      <c r="F357" s="30" t="n"/>
      <c r="G357" s="27" t="inlineStr">
        <is>
          <t>Misclassification of Static Object as Car</t>
        </is>
      </c>
    </row>
    <row r="358" ht="17" customHeight="1" s="26">
      <c r="A358" s="33" t="n"/>
      <c r="B358" s="33" t="n"/>
      <c r="C358" s="33" t="n"/>
      <c r="D358" s="33" t="n"/>
      <c r="E358" s="33" t="n"/>
      <c r="F358" s="33" t="n"/>
      <c r="G358" s="33" t="n"/>
    </row>
    <row r="359" ht="126" customHeight="1" s="26">
      <c r="A359" s="27" t="inlineStr">
        <is>
          <t>2026-03-13_03-03-32</t>
        </is>
      </c>
      <c r="B359" s="27" t="inlineStr">
        <is>
          <t>1773371549205_1773371569204</t>
        </is>
      </c>
      <c r="C359" s="27" t="inlineStr">
        <is>
          <t>1773371563000, 1773371563300, 1773371564200, 1773371565000, 1773371565300</t>
        </is>
      </c>
      <c r="D359" s="32">
        <f>IMAGE("https://liskibruh.github.io/l4_data_sheets_table_images_mapper/l4_problematic_frames/xl/media/image596.png")</f>
        <v/>
      </c>
      <c r="E359" s="30" t="n"/>
      <c r="F359" s="30" t="n"/>
      <c r="G359" s="27" t="inlineStr">
        <is>
          <t>Missing LiDAR Points</t>
        </is>
      </c>
    </row>
    <row r="360" ht="17" customHeight="1" s="26">
      <c r="A360" s="33" t="n"/>
      <c r="B360" s="33" t="n"/>
      <c r="C360" s="33" t="n"/>
      <c r="D360" s="33" t="n"/>
      <c r="E360" s="33" t="n"/>
      <c r="F360" s="33" t="n"/>
      <c r="G360" s="33" t="n"/>
    </row>
    <row r="361" ht="41" customHeight="1" s="26">
      <c r="A361" s="27" t="inlineStr">
        <is>
          <t>2026-03-13_03-03-32</t>
        </is>
      </c>
      <c r="B361" s="27" t="inlineStr">
        <is>
          <t>1773371569304_1773371589205</t>
        </is>
      </c>
      <c r="C361" s="27" t="inlineStr">
        <is>
          <t>1773371572604 - 1773371573905</t>
        </is>
      </c>
      <c r="D361" s="32">
        <f>IMAGE("https://liskibruh.github.io/l4_data_sheets_table_images_mapper/l4_problematic_frames/xl/media/image597.png")</f>
        <v/>
      </c>
      <c r="E361" s="32">
        <f>IMAGE("https://liskibruh.github.io/l4_data_sheets_table_images_mapper/l4_problematic_frames/xl/media/image598.png")</f>
        <v/>
      </c>
      <c r="F361" s="30" t="n"/>
      <c r="G361" s="27" t="inlineStr">
        <is>
          <t>False Positive Static Objects</t>
        </is>
      </c>
    </row>
    <row r="362" ht="17" customHeight="1" s="26">
      <c r="A362" s="33" t="n"/>
      <c r="B362" s="33" t="n"/>
      <c r="C362" s="33" t="n"/>
      <c r="D362" s="33" t="n"/>
      <c r="E362" s="33" t="n"/>
      <c r="F362" s="33" t="n"/>
      <c r="G362" s="33" t="n"/>
    </row>
    <row r="363" ht="41" customHeight="1" s="26">
      <c r="A363" s="27" t="inlineStr">
        <is>
          <t>2026-03-13_03-03-32</t>
        </is>
      </c>
      <c r="B363" s="27" t="inlineStr">
        <is>
          <t>1773371569304_1773371589205</t>
        </is>
      </c>
      <c r="C363" s="27" t="inlineStr">
        <is>
          <t>1773371575105 - 1773371577305</t>
        </is>
      </c>
      <c r="D363" s="32">
        <f>IMAGE("https://liskibruh.github.io/l4_data_sheets_table_images_mapper/l4_problematic_frames/xl/media/image599.png")</f>
        <v/>
      </c>
      <c r="E363" s="32">
        <f>IMAGE("https://liskibruh.github.io/l4_data_sheets_table_images_mapper/l4_problematic_frames/xl/media/image600.png")</f>
        <v/>
      </c>
      <c r="F363" s="30" t="n"/>
      <c r="G363" s="27" t="inlineStr">
        <is>
          <t>Misoriented Direction of Truck</t>
        </is>
      </c>
    </row>
    <row r="364" ht="17" customHeight="1" s="26">
      <c r="A364" s="33" t="n"/>
      <c r="B364" s="33" t="n"/>
      <c r="C364" s="33" t="n"/>
      <c r="D364" s="33" t="n"/>
      <c r="E364" s="33" t="n"/>
      <c r="F364" s="33" t="n"/>
      <c r="G364" s="33" t="n"/>
    </row>
    <row r="365" ht="69" customHeight="1" s="26">
      <c r="A365" s="27" t="inlineStr">
        <is>
          <t>2026-03-13_03-03-32</t>
        </is>
      </c>
      <c r="B365" s="27" t="inlineStr">
        <is>
          <t>1773371569304_1773371589205</t>
        </is>
      </c>
      <c r="C365" s="27" t="inlineStr">
        <is>
          <t>1773371574800, 1773371578203, 1773371579403</t>
        </is>
      </c>
      <c r="D365" s="32">
        <f>IMAGE("https://liskibruh.github.io/l4_data_sheets_table_images_mapper/l4_problematic_frames/xl/media/image601.png")</f>
        <v/>
      </c>
      <c r="E365" s="30" t="n"/>
      <c r="F365" s="30" t="n"/>
      <c r="G365" s="27" t="inlineStr">
        <is>
          <t>Missing LiDAR Points</t>
        </is>
      </c>
    </row>
    <row r="366" ht="17" customHeight="1" s="26">
      <c r="A366" s="33" t="n"/>
      <c r="B366" s="33" t="n"/>
      <c r="C366" s="33" t="n"/>
      <c r="D366" s="33" t="n"/>
      <c r="E366" s="33" t="n"/>
      <c r="F366" s="33" t="n"/>
      <c r="G366" s="33" t="n"/>
    </row>
    <row r="367" ht="41" customHeight="1" s="26">
      <c r="A367" s="27" t="inlineStr">
        <is>
          <t>2026-03-13_03-03-32</t>
        </is>
      </c>
      <c r="B367" s="27" t="inlineStr">
        <is>
          <t>1773371569304_1773371589205</t>
        </is>
      </c>
      <c r="C367" s="27" t="inlineStr">
        <is>
          <t>1773371583604 - 1773371584505</t>
        </is>
      </c>
      <c r="D367" s="32">
        <f>IMAGE("https://liskibruh.github.io/l4_data_sheets_table_images_mapper/l4_problematic_frames/xl/media/image602.png")</f>
        <v/>
      </c>
      <c r="E367" s="32">
        <f>IMAGE("https://liskibruh.github.io/l4_data_sheets_table_images_mapper/l4_problematic_frames/xl/media/image603.png")</f>
        <v/>
      </c>
      <c r="F367" s="30" t="n"/>
      <c r="G367" s="27" t="inlineStr">
        <is>
          <t>Misoriented Direction of Truck</t>
        </is>
      </c>
    </row>
    <row r="368" ht="17" customHeight="1" s="26">
      <c r="A368" s="33" t="n"/>
      <c r="B368" s="33" t="n"/>
      <c r="C368" s="33" t="n"/>
      <c r="D368" s="33" t="n"/>
      <c r="E368" s="33" t="n"/>
      <c r="F368" s="33" t="n"/>
      <c r="G368" s="33" t="n"/>
    </row>
    <row r="369" ht="41" customHeight="1" s="26">
      <c r="A369" s="27" t="inlineStr">
        <is>
          <t>2026-03-13_03-03-32</t>
        </is>
      </c>
      <c r="B369" s="27" t="inlineStr">
        <is>
          <t>1773371569304_1773371589205</t>
        </is>
      </c>
      <c r="C369" s="27" t="n">
        <v>1773371584600</v>
      </c>
      <c r="D369" s="32">
        <f>IMAGE("https://liskibruh.github.io/l4_data_sheets_table_images_mapper/l4_problematic_frames/xl/media/image604.png")</f>
        <v/>
      </c>
      <c r="E369" s="30" t="n"/>
      <c r="F369" s="30" t="n"/>
      <c r="G369" s="27" t="inlineStr">
        <is>
          <t>Missing LiDAR Points</t>
        </is>
      </c>
    </row>
    <row r="370" ht="17" customHeight="1" s="26">
      <c r="A370" s="33" t="n"/>
      <c r="B370" s="33" t="n"/>
      <c r="C370" s="33" t="n"/>
      <c r="D370" s="33" t="n"/>
      <c r="E370" s="33" t="n"/>
      <c r="F370" s="33" t="n"/>
      <c r="G370" s="33" t="n"/>
    </row>
    <row r="371" ht="69" customHeight="1" s="26">
      <c r="A371" s="27" t="inlineStr">
        <is>
          <t>2026-03-13_03-03-32</t>
        </is>
      </c>
      <c r="B371" s="27" t="inlineStr">
        <is>
          <t>1773371569304_1773371589205</t>
        </is>
      </c>
      <c r="C371" s="27" t="inlineStr">
        <is>
          <t>1773371585005, 1773371585505, 1773371585904</t>
        </is>
      </c>
      <c r="D371" s="32">
        <f>IMAGE("https://liskibruh.github.io/l4_data_sheets_table_images_mapper/l4_problematic_frames/xl/media/image605.png")</f>
        <v/>
      </c>
      <c r="E371" s="32">
        <f>IMAGE("https://liskibruh.github.io/l4_data_sheets_table_images_mapper/l4_problematic_frames/xl/media/image606.png")</f>
        <v/>
      </c>
      <c r="F371" s="30" t="n"/>
      <c r="G371" s="27" t="inlineStr">
        <is>
          <t>Missing Static Objects</t>
        </is>
      </c>
    </row>
    <row r="372" ht="17" customHeight="1" s="26">
      <c r="A372" s="33" t="n"/>
      <c r="B372" s="33" t="n"/>
      <c r="C372" s="33" t="n"/>
      <c r="D372" s="33" t="n"/>
      <c r="E372" s="33" t="n"/>
      <c r="F372" s="33" t="n"/>
      <c r="G372" s="33" t="n"/>
    </row>
    <row r="373" ht="41" customHeight="1" s="26">
      <c r="A373" s="27" t="inlineStr">
        <is>
          <t>2026-03-13_03-03-32</t>
        </is>
      </c>
      <c r="B373" s="27" t="inlineStr">
        <is>
          <t>1773371569304_1773371589205</t>
        </is>
      </c>
      <c r="C373" s="27" t="n">
        <v>1773371587603</v>
      </c>
      <c r="D373" s="32">
        <f>IMAGE("https://liskibruh.github.io/l4_data_sheets_table_images_mapper/l4_problematic_frames/xl/media/image607.png")</f>
        <v/>
      </c>
      <c r="E373" s="30" t="n"/>
      <c r="F373" s="30" t="n"/>
      <c r="G373" s="27" t="inlineStr">
        <is>
          <t>Missintg LiDAR Points</t>
        </is>
      </c>
    </row>
    <row r="374" ht="17" customHeight="1" s="26">
      <c r="A374" s="33" t="n"/>
      <c r="B374" s="33" t="n"/>
      <c r="C374" s="33" t="n"/>
      <c r="D374" s="33" t="n"/>
      <c r="E374" s="33" t="n"/>
      <c r="F374" s="33" t="n"/>
      <c r="G374" s="33" t="n"/>
    </row>
    <row r="375" ht="353" customHeight="1" s="26">
      <c r="A375" s="27" t="inlineStr">
        <is>
          <t>2026-03-13_03-03-32</t>
        </is>
      </c>
      <c r="B375" s="27" t="inlineStr">
        <is>
          <t>1773371569304_1773371589205 and 1773371589305_1773371609204</t>
        </is>
      </c>
      <c r="C375" s="27" t="inlineStr">
        <is>
          <t>1773371587705, 1773371588104, 1773371588203, 1773371588804 - 1773371589205, 1773371589403, 1773371589704, 1773371589803, 1773371590003, 1773371590203, 1773371590403, 1773371590905 - 1773371591304</t>
        </is>
      </c>
      <c r="D375" s="32">
        <f>IMAGE("https://liskibruh.github.io/l4_data_sheets_table_images_mapper/l4_problematic_frames/xl/media/image608.png")</f>
        <v/>
      </c>
      <c r="E375" s="32">
        <f>IMAGE("https://liskibruh.github.io/l4_data_sheets_table_images_mapper/l4_problematic_frames/xl/media/image609.png")</f>
        <v/>
      </c>
      <c r="F375" s="30" t="n"/>
      <c r="G375" s="27" t="inlineStr">
        <is>
          <t>Missing Static Objects/ Missing LiDAR Points</t>
        </is>
      </c>
    </row>
    <row r="376" ht="17" customHeight="1" s="26">
      <c r="A376" s="33" t="n"/>
      <c r="B376" s="33" t="n"/>
      <c r="C376" s="33" t="n"/>
      <c r="D376" s="33" t="n"/>
      <c r="E376" s="33" t="n"/>
      <c r="F376" s="33" t="n"/>
      <c r="G376" s="33" t="n"/>
    </row>
    <row r="377" ht="41" customHeight="1" s="26">
      <c r="A377" s="27" t="inlineStr">
        <is>
          <t>2026-03-13_03-03-32</t>
        </is>
      </c>
      <c r="B377" s="27" t="inlineStr">
        <is>
          <t>1773371589305_1773371609204</t>
        </is>
      </c>
      <c r="C377" s="27" t="n">
        <v>1773371594504</v>
      </c>
      <c r="D377" s="32">
        <f>IMAGE("https://liskibruh.github.io/l4_data_sheets_table_images_mapper/l4_problematic_frames/xl/media/image610.png")</f>
        <v/>
      </c>
      <c r="E377" s="32">
        <f>IMAGE("https://liskibruh.github.io/l4_data_sheets_table_images_mapper/l4_problematic_frames/xl/media/image611.png")</f>
        <v/>
      </c>
      <c r="F377" s="30" t="n"/>
      <c r="G377" s="27" t="inlineStr">
        <is>
          <t>Missing Truck</t>
        </is>
      </c>
    </row>
    <row r="378" ht="17" customHeight="1" s="26">
      <c r="A378" s="33" t="n"/>
      <c r="B378" s="33" t="n"/>
      <c r="C378" s="33" t="n"/>
      <c r="D378" s="33" t="n"/>
      <c r="E378" s="33" t="n"/>
      <c r="F378" s="33" t="n"/>
      <c r="G378" s="33" t="n"/>
    </row>
    <row r="379" ht="41" customHeight="1" s="26">
      <c r="A379" s="27" t="inlineStr">
        <is>
          <t>2026-03-13_03-03-32</t>
        </is>
      </c>
      <c r="B379" s="27" t="inlineStr">
        <is>
          <t>1773371589305_1773371609204</t>
        </is>
      </c>
      <c r="C379" s="27" t="inlineStr">
        <is>
          <t>1773371598905 - 1773371603904</t>
        </is>
      </c>
      <c r="D379" s="32">
        <f>IMAGE("https://liskibruh.github.io/l4_data_sheets_table_images_mapper/l4_problematic_frames/xl/media/image612.png")</f>
        <v/>
      </c>
      <c r="E379" s="32">
        <f>IMAGE("https://liskibruh.github.io/l4_data_sheets_table_images_mapper/l4_problematic_frames/xl/media/image613.png")</f>
        <v/>
      </c>
      <c r="F379" s="30" t="n"/>
      <c r="G379" s="27" t="inlineStr">
        <is>
          <t>Missing Trucks + Missing Car</t>
        </is>
      </c>
    </row>
    <row r="380" ht="17" customHeight="1" s="26">
      <c r="A380" s="33" t="n"/>
      <c r="B380" s="33" t="n"/>
      <c r="C380" s="33" t="n"/>
      <c r="D380" s="33" t="n"/>
      <c r="E380" s="33" t="n"/>
      <c r="F380" s="33" t="n"/>
      <c r="G380" s="33" t="n"/>
    </row>
    <row r="381" ht="41" customHeight="1" s="26">
      <c r="A381" s="27" t="inlineStr">
        <is>
          <t>2026-03-13_03-03-32</t>
        </is>
      </c>
      <c r="B381" s="27" t="inlineStr">
        <is>
          <t>1773371589305_1773371609204</t>
        </is>
      </c>
      <c r="C381" s="27" t="inlineStr">
        <is>
          <t>1773371604005 - 1773371604604</t>
        </is>
      </c>
      <c r="D381" s="32">
        <f>IMAGE("https://liskibruh.github.io/l4_data_sheets_table_images_mapper/l4_problematic_frames/xl/media/image614.png")</f>
        <v/>
      </c>
      <c r="E381" s="32">
        <f>IMAGE("https://liskibruh.github.io/l4_data_sheets_table_images_mapper/l4_problematic_frames/xl/media/image615.png")</f>
        <v/>
      </c>
      <c r="F381" s="30" t="n"/>
      <c r="G381" s="27" t="inlineStr">
        <is>
          <t>False Positive Trucks</t>
        </is>
      </c>
    </row>
    <row r="382" ht="17" customHeight="1" s="26">
      <c r="A382" s="33" t="n"/>
      <c r="B382" s="33" t="n"/>
      <c r="C382" s="33" t="n"/>
      <c r="D382" s="33" t="n"/>
      <c r="E382" s="33" t="n"/>
      <c r="F382" s="33" t="n"/>
      <c r="G382" s="33" t="n"/>
    </row>
    <row r="383" ht="41" customHeight="1" s="26">
      <c r="A383" s="27" t="inlineStr">
        <is>
          <t>2026-03-13_03-03-32</t>
        </is>
      </c>
      <c r="B383" s="27" t="inlineStr">
        <is>
          <t>1773371589305_1773371609204</t>
        </is>
      </c>
      <c r="C383" s="27" t="inlineStr">
        <is>
          <t>1773371606605 - 1773371607604</t>
        </is>
      </c>
      <c r="D383" s="32">
        <f>IMAGE("https://liskibruh.github.io/l4_data_sheets_table_images_mapper/l4_problematic_frames/xl/media/image616.png")</f>
        <v/>
      </c>
      <c r="E383" s="32">
        <f>IMAGE("https://liskibruh.github.io/l4_data_sheets_table_images_mapper/l4_problematic_frames/xl/media/image617.png")</f>
        <v/>
      </c>
      <c r="F383" s="30" t="n"/>
      <c r="G383" s="27" t="inlineStr">
        <is>
          <t>Misoriented Direction of Trucks</t>
        </is>
      </c>
    </row>
    <row r="384" ht="17" customHeight="1" s="26">
      <c r="A384" s="33" t="n"/>
      <c r="B384" s="33" t="n"/>
      <c r="C384" s="33" t="n"/>
      <c r="D384" s="33" t="n"/>
      <c r="E384" s="33" t="n"/>
      <c r="F384" s="33" t="n"/>
      <c r="G384" s="33" t="n"/>
    </row>
    <row r="385" ht="41" customHeight="1" s="26">
      <c r="A385" s="27" t="inlineStr">
        <is>
          <t>2026-03-13_03-03-32</t>
        </is>
      </c>
      <c r="B385" s="27" t="inlineStr">
        <is>
          <t>1773371609404_1773371629305</t>
        </is>
      </c>
      <c r="C385" s="27" t="inlineStr">
        <is>
          <t>1773371614704 - 1773371615504</t>
        </is>
      </c>
      <c r="D385" s="32">
        <f>IMAGE("https://liskibruh.github.io/l4_data_sheets_table_images_mapper/l4_problematic_frames/xl/media/image618.png")</f>
        <v/>
      </c>
      <c r="E385" s="32">
        <f>IMAGE("https://liskibruh.github.io/l4_data_sheets_table_images_mapper/l4_problematic_frames/xl/media/image619.png")</f>
        <v/>
      </c>
      <c r="F385" s="30" t="n"/>
      <c r="G385" s="27" t="inlineStr">
        <is>
          <t>Missing Truck</t>
        </is>
      </c>
    </row>
    <row r="386" ht="17" customHeight="1" s="26">
      <c r="A386" s="33" t="n"/>
      <c r="B386" s="33" t="n"/>
      <c r="C386" s="33" t="n"/>
      <c r="D386" s="33" t="n"/>
      <c r="E386" s="33" t="n"/>
      <c r="F386" s="33" t="n"/>
      <c r="G386" s="33" t="n"/>
    </row>
    <row r="387" ht="41" customHeight="1" s="26">
      <c r="A387" s="27" t="inlineStr">
        <is>
          <t>2026-03-13_03-03-32</t>
        </is>
      </c>
      <c r="B387" s="27" t="inlineStr">
        <is>
          <t>1773371609404_1773371629305</t>
        </is>
      </c>
      <c r="C387" s="27" t="inlineStr">
        <is>
          <t>1773371616603, 1773371617103</t>
        </is>
      </c>
      <c r="D387" s="32">
        <f>IMAGE("https://liskibruh.github.io/l4_data_sheets_table_images_mapper/l4_problematic_frames/xl/media/image620.png")</f>
        <v/>
      </c>
      <c r="E387" s="30" t="n"/>
      <c r="F387" s="30" t="n"/>
      <c r="G387" s="27" t="inlineStr">
        <is>
          <t>Missing LiDAR Points</t>
        </is>
      </c>
    </row>
    <row r="388" ht="17" customHeight="1" s="26">
      <c r="A388" s="33" t="n"/>
      <c r="B388" s="33" t="n"/>
      <c r="C388" s="33" t="n"/>
      <c r="D388" s="33" t="n"/>
      <c r="E388" s="33" t="n"/>
      <c r="F388" s="33" t="n"/>
      <c r="G388" s="33" t="n"/>
    </row>
    <row r="389" ht="41" customHeight="1" s="26">
      <c r="A389" s="27" t="inlineStr">
        <is>
          <t>2026-03-13_03-03-32</t>
        </is>
      </c>
      <c r="B389" s="27" t="inlineStr">
        <is>
          <t>1773371609404_1773371629305</t>
        </is>
      </c>
      <c r="C389" s="27" t="n">
        <v>1773371617905</v>
      </c>
      <c r="D389" s="32">
        <f>IMAGE("https://liskibruh.github.io/l4_data_sheets_table_images_mapper/l4_problematic_frames/xl/media/image621.png")</f>
        <v/>
      </c>
      <c r="E389" s="32">
        <f>IMAGE("https://liskibruh.github.io/l4_data_sheets_table_images_mapper/l4_problematic_frames/xl/media/image622.png")</f>
        <v/>
      </c>
      <c r="F389" s="30" t="n"/>
      <c r="G389" s="27" t="inlineStr">
        <is>
          <t>Missing Car</t>
        </is>
      </c>
    </row>
    <row r="390" ht="17" customHeight="1" s="26">
      <c r="A390" s="33" t="n"/>
      <c r="B390" s="33" t="n"/>
      <c r="C390" s="33" t="n"/>
      <c r="D390" s="33" t="n"/>
      <c r="E390" s="33" t="n"/>
      <c r="F390" s="33" t="n"/>
      <c r="G390" s="33" t="n"/>
    </row>
    <row r="391" ht="155" customHeight="1" s="26">
      <c r="A391" s="27" t="inlineStr">
        <is>
          <t>2026-03-13_03-03-32</t>
        </is>
      </c>
      <c r="B391" s="27" t="inlineStr">
        <is>
          <t>1773371609404_1773371629305</t>
        </is>
      </c>
      <c r="C391" s="27" t="inlineStr">
        <is>
          <t>1773371618603, 1773371619303, 1773371622100, 1773371625803, 1773371626203, 1773371626503</t>
        </is>
      </c>
      <c r="D391" s="32">
        <f>IMAGE("https://liskibruh.github.io/l4_data_sheets_table_images_mapper/l4_problematic_frames/xl/media/image623.png")</f>
        <v/>
      </c>
      <c r="E391" s="30" t="n"/>
      <c r="F391" s="30" t="n"/>
      <c r="G391" s="27" t="inlineStr">
        <is>
          <t>Out of Sequence Frames</t>
        </is>
      </c>
    </row>
    <row r="392" ht="17" customHeight="1" s="26">
      <c r="A392" s="33" t="n"/>
      <c r="B392" s="33" t="n"/>
      <c r="C392" s="33" t="n"/>
      <c r="D392" s="33" t="n"/>
      <c r="E392" s="33" t="n"/>
      <c r="F392" s="33" t="n"/>
      <c r="G392" s="33" t="n"/>
    </row>
    <row r="393" ht="41" customHeight="1" s="26">
      <c r="A393" s="27" t="inlineStr">
        <is>
          <t>2026-03-13_03-03-32</t>
        </is>
      </c>
      <c r="B393" s="27" t="inlineStr">
        <is>
          <t>1773371629405_1773371649404</t>
        </is>
      </c>
      <c r="C393" s="27" t="n">
        <v>1773371643303</v>
      </c>
      <c r="D393" s="32">
        <f>IMAGE("https://liskibruh.github.io/l4_data_sheets_table_images_mapper/l4_problematic_frames/xl/media/image624.png")</f>
        <v/>
      </c>
      <c r="E393" s="32">
        <f>IMAGE("https://liskibruh.github.io/l4_data_sheets_table_images_mapper/l4_problematic_frames/xl/media/image625.png")</f>
        <v/>
      </c>
      <c r="F393" s="30" t="n"/>
      <c r="G393" s="27" t="inlineStr">
        <is>
          <t>Missing Static Object</t>
        </is>
      </c>
    </row>
    <row r="394" ht="17" customHeight="1" s="26">
      <c r="A394" s="33" t="n"/>
      <c r="B394" s="33" t="n"/>
      <c r="C394" s="33" t="n"/>
      <c r="D394" s="33" t="n"/>
      <c r="E394" s="33" t="n"/>
      <c r="F394" s="33" t="n"/>
      <c r="G394" s="33" t="n"/>
    </row>
    <row r="395" ht="41" customHeight="1" s="26">
      <c r="A395" s="27" t="inlineStr">
        <is>
          <t>2026-03-13_03-03-32</t>
        </is>
      </c>
      <c r="B395" s="27" t="inlineStr">
        <is>
          <t>1773371649503_1773371669405</t>
        </is>
      </c>
      <c r="C395" s="27" t="inlineStr">
        <is>
          <t>1773371651105 - 1773371651904</t>
        </is>
      </c>
      <c r="D395" s="32">
        <f>IMAGE("https://liskibruh.github.io/l4_data_sheets_table_images_mapper/l4_problematic_frames/xl/media/image626.png")</f>
        <v/>
      </c>
      <c r="E395" s="32">
        <f>IMAGE("https://liskibruh.github.io/l4_data_sheets_table_images_mapper/l4_problematic_frames/xl/media/image627.png")</f>
        <v/>
      </c>
      <c r="F395" s="30" t="n"/>
      <c r="G395" s="27" t="inlineStr">
        <is>
          <t>False Positive Static Objects</t>
        </is>
      </c>
    </row>
    <row r="396" ht="17" customHeight="1" s="26">
      <c r="A396" s="33" t="n"/>
      <c r="B396" s="33" t="n"/>
      <c r="C396" s="33" t="n"/>
      <c r="D396" s="33" t="n"/>
      <c r="E396" s="33" t="n"/>
      <c r="F396" s="33" t="n"/>
      <c r="G396" s="33" t="n"/>
    </row>
    <row r="397" ht="41" customHeight="1" s="26">
      <c r="A397" s="4" t="inlineStr">
        <is>
          <t>2026-03-13_03-03-32</t>
        </is>
      </c>
      <c r="B397" s="4" t="inlineStr">
        <is>
          <t>1773371649503_1773371669405</t>
        </is>
      </c>
      <c r="C397" s="4" t="n">
        <v>1773371653803</v>
      </c>
      <c r="D397" s="3">
        <f>IMAGE("https://liskibruh.github.io/l4_data_sheets_table_images_mapper/l4_problematic_frames/xl/media/image628.png")</f>
        <v/>
      </c>
      <c r="E397" s="1" t="n"/>
      <c r="F397" s="1" t="n"/>
      <c r="G397" s="4" t="inlineStr">
        <is>
          <t>Out of Sequence Frame</t>
        </is>
      </c>
    </row>
  </sheetData>
  <mergeCells count="1320">
    <mergeCell ref="E235:E236"/>
    <mergeCell ref="G297:G298"/>
    <mergeCell ref="G82:G83"/>
    <mergeCell ref="F173:F174"/>
    <mergeCell ref="B42:B43"/>
    <mergeCell ref="G299:G300"/>
    <mergeCell ref="D229:D230"/>
    <mergeCell ref="C132:C133"/>
    <mergeCell ref="D283:D284"/>
    <mergeCell ref="A213:A214"/>
    <mergeCell ref="D285:D286"/>
    <mergeCell ref="F347:F348"/>
    <mergeCell ref="B64:B65"/>
    <mergeCell ref="F313:F314"/>
    <mergeCell ref="F349:F350"/>
    <mergeCell ref="E377:E378"/>
    <mergeCell ref="G12:G13"/>
    <mergeCell ref="E248:E249"/>
    <mergeCell ref="B209:B210"/>
    <mergeCell ref="G136:G137"/>
    <mergeCell ref="D311:D312"/>
    <mergeCell ref="B90:B91"/>
    <mergeCell ref="F217:F218"/>
    <mergeCell ref="F375:F376"/>
    <mergeCell ref="D154:D155"/>
    <mergeCell ref="C203:C204"/>
    <mergeCell ref="G154:G155"/>
    <mergeCell ref="A140:A141"/>
    <mergeCell ref="B108:B109"/>
    <mergeCell ref="G365:G366"/>
    <mergeCell ref="E389:E390"/>
    <mergeCell ref="E267:E268"/>
    <mergeCell ref="D26:D27"/>
    <mergeCell ref="F88:F89"/>
    <mergeCell ref="F359:F360"/>
    <mergeCell ref="A173:A174"/>
    <mergeCell ref="F299:F300"/>
    <mergeCell ref="F54:F55"/>
    <mergeCell ref="G237:G238"/>
    <mergeCell ref="F265:F266"/>
    <mergeCell ref="E20:E21"/>
    <mergeCell ref="D80:D81"/>
    <mergeCell ref="A193:A194"/>
    <mergeCell ref="E295:E296"/>
    <mergeCell ref="B250:B251"/>
    <mergeCell ref="C257:C258"/>
    <mergeCell ref="D225:D226"/>
    <mergeCell ref="G80:G81"/>
    <mergeCell ref="B279:B280"/>
    <mergeCell ref="D227:D228"/>
    <mergeCell ref="E315:E316"/>
    <mergeCell ref="A209:A210"/>
    <mergeCell ref="D343:D344"/>
    <mergeCell ref="G379:G380"/>
    <mergeCell ref="F14:F15"/>
    <mergeCell ref="A211:A212"/>
    <mergeCell ref="B193:B194"/>
    <mergeCell ref="C283:C284"/>
    <mergeCell ref="E217:E218"/>
    <mergeCell ref="C275:C276"/>
    <mergeCell ref="A98:A99"/>
    <mergeCell ref="C154:C155"/>
    <mergeCell ref="C285:C286"/>
    <mergeCell ref="E347:E348"/>
    <mergeCell ref="E341:E342"/>
    <mergeCell ref="D96:D97"/>
    <mergeCell ref="C156:C157"/>
    <mergeCell ref="E34:E35"/>
    <mergeCell ref="A237:A238"/>
    <mergeCell ref="B175:B176"/>
    <mergeCell ref="A108:A109"/>
    <mergeCell ref="C301:C302"/>
    <mergeCell ref="B177:B178"/>
    <mergeCell ref="F373:F374"/>
    <mergeCell ref="C303:C304"/>
    <mergeCell ref="D391:D392"/>
    <mergeCell ref="D152:D153"/>
    <mergeCell ref="E359:E360"/>
    <mergeCell ref="C323:C324"/>
    <mergeCell ref="B237:B238"/>
    <mergeCell ref="E387:E388"/>
    <mergeCell ref="D22:D23"/>
    <mergeCell ref="F84:F85"/>
    <mergeCell ref="D295:D296"/>
    <mergeCell ref="A250:A251"/>
    <mergeCell ref="G331:G332"/>
    <mergeCell ref="F86:F87"/>
    <mergeCell ref="A283:A284"/>
    <mergeCell ref="C16:C17"/>
    <mergeCell ref="D321:D322"/>
    <mergeCell ref="C227:C228"/>
    <mergeCell ref="C347:C348"/>
    <mergeCell ref="D323:D324"/>
    <mergeCell ref="E291:E292"/>
    <mergeCell ref="B246:B247"/>
    <mergeCell ref="G207:G208"/>
    <mergeCell ref="F381:F382"/>
    <mergeCell ref="A309:A310"/>
    <mergeCell ref="B275:B276"/>
    <mergeCell ref="G50:G51"/>
    <mergeCell ref="G44:G45"/>
    <mergeCell ref="B277:B278"/>
    <mergeCell ref="C367:C368"/>
    <mergeCell ref="D34:D35"/>
    <mergeCell ref="D305:D306"/>
    <mergeCell ref="C98:C99"/>
    <mergeCell ref="C369:C370"/>
    <mergeCell ref="E4:E5"/>
    <mergeCell ref="B301:B302"/>
    <mergeCell ref="G191:G192"/>
    <mergeCell ref="F309:F310"/>
    <mergeCell ref="A177:A178"/>
    <mergeCell ref="E373:E374"/>
    <mergeCell ref="E128:E129"/>
    <mergeCell ref="B303:B304"/>
    <mergeCell ref="C152:C153"/>
    <mergeCell ref="F311:F312"/>
    <mergeCell ref="E339:E340"/>
    <mergeCell ref="D367:D368"/>
    <mergeCell ref="A235:A236"/>
    <mergeCell ref="C297:C298"/>
    <mergeCell ref="F152:F153"/>
    <mergeCell ref="C82:C83"/>
    <mergeCell ref="C299:C300"/>
    <mergeCell ref="E355:E356"/>
    <mergeCell ref="E146:E147"/>
    <mergeCell ref="E357:E358"/>
    <mergeCell ref="B16:B17"/>
    <mergeCell ref="F339:F340"/>
    <mergeCell ref="E58:E59"/>
    <mergeCell ref="F24:F25"/>
    <mergeCell ref="B233:B234"/>
    <mergeCell ref="E52:E53"/>
    <mergeCell ref="B347:B348"/>
    <mergeCell ref="B18:B19"/>
    <mergeCell ref="E60:E61"/>
    <mergeCell ref="B235:B236"/>
    <mergeCell ref="G116:G117"/>
    <mergeCell ref="D291:D292"/>
    <mergeCell ref="G118:G119"/>
    <mergeCell ref="D293:D294"/>
    <mergeCell ref="F355:F356"/>
    <mergeCell ref="C12:C13"/>
    <mergeCell ref="A248:A249"/>
    <mergeCell ref="F50:F51"/>
    <mergeCell ref="F181:F182"/>
    <mergeCell ref="E114:E115"/>
    <mergeCell ref="E70:E71"/>
    <mergeCell ref="F52:F53"/>
    <mergeCell ref="E80:E81"/>
    <mergeCell ref="B217:B218"/>
    <mergeCell ref="B375:B376"/>
    <mergeCell ref="G134:G135"/>
    <mergeCell ref="G144:G145"/>
    <mergeCell ref="C307:C308"/>
    <mergeCell ref="C38:C39"/>
    <mergeCell ref="B72:B73"/>
    <mergeCell ref="B248:B249"/>
    <mergeCell ref="D128:D129"/>
    <mergeCell ref="A275:A276"/>
    <mergeCell ref="F70:F71"/>
    <mergeCell ref="A267:A268"/>
    <mergeCell ref="A146:A147"/>
    <mergeCell ref="A277:A278"/>
    <mergeCell ref="C333:C334"/>
    <mergeCell ref="B88:B89"/>
    <mergeCell ref="E254:E256"/>
    <mergeCell ref="B299:B300"/>
    <mergeCell ref="D146:D147"/>
    <mergeCell ref="D363:D364"/>
    <mergeCell ref="D58:D59"/>
    <mergeCell ref="D365:D366"/>
    <mergeCell ref="G211:G212"/>
    <mergeCell ref="A295:A296"/>
    <mergeCell ref="A347:A348"/>
    <mergeCell ref="D60:D61"/>
    <mergeCell ref="F116:F117"/>
    <mergeCell ref="G219:G220"/>
    <mergeCell ref="A349:A350"/>
    <mergeCell ref="F118:F119"/>
    <mergeCell ref="A315:A316"/>
    <mergeCell ref="B12:B13"/>
    <mergeCell ref="G244:G245"/>
    <mergeCell ref="E181:E182"/>
    <mergeCell ref="C379:C380"/>
    <mergeCell ref="B14:B15"/>
    <mergeCell ref="F263:F264"/>
    <mergeCell ref="A217:A218"/>
    <mergeCell ref="G201:G202"/>
    <mergeCell ref="D78:D79"/>
    <mergeCell ref="A375:A376"/>
    <mergeCell ref="F134:F135"/>
    <mergeCell ref="B313:B314"/>
    <mergeCell ref="A341:A342"/>
    <mergeCell ref="A377:A378"/>
    <mergeCell ref="B40:B41"/>
    <mergeCell ref="E199:E200"/>
    <mergeCell ref="F48:F49"/>
    <mergeCell ref="D166:D172"/>
    <mergeCell ref="A359:A360"/>
    <mergeCell ref="A88:A89"/>
    <mergeCell ref="A54:A55"/>
    <mergeCell ref="A90:A91"/>
    <mergeCell ref="D126:D127"/>
    <mergeCell ref="A56:A57"/>
    <mergeCell ref="A273:A274"/>
    <mergeCell ref="D301:D302"/>
    <mergeCell ref="C329:C330"/>
    <mergeCell ref="C365:C366"/>
    <mergeCell ref="C120:C121"/>
    <mergeCell ref="B84:B85"/>
    <mergeCell ref="C60:C61"/>
    <mergeCell ref="C331:C332"/>
    <mergeCell ref="E393:E394"/>
    <mergeCell ref="G309:G310"/>
    <mergeCell ref="C32:C33"/>
    <mergeCell ref="D142:D143"/>
    <mergeCell ref="E124:E125"/>
    <mergeCell ref="E395:E396"/>
    <mergeCell ref="D30:D31"/>
    <mergeCell ref="G311:G312"/>
    <mergeCell ref="D144:D145"/>
    <mergeCell ref="E126:E127"/>
    <mergeCell ref="A239:A241"/>
    <mergeCell ref="A291:A292"/>
    <mergeCell ref="F162:F165"/>
    <mergeCell ref="C42:C43"/>
    <mergeCell ref="B381:B382"/>
    <mergeCell ref="F201:F202"/>
    <mergeCell ref="C50:C51"/>
    <mergeCell ref="C44:C45"/>
    <mergeCell ref="C80:C81"/>
    <mergeCell ref="G329:G330"/>
    <mergeCell ref="E108:E109"/>
    <mergeCell ref="G24:G25"/>
    <mergeCell ref="A4:A5"/>
    <mergeCell ref="D42:D43"/>
    <mergeCell ref="D173:D174"/>
    <mergeCell ref="A373:A374"/>
    <mergeCell ref="F229:F230"/>
    <mergeCell ref="C106:C107"/>
    <mergeCell ref="E195:E196"/>
    <mergeCell ref="F158:F159"/>
    <mergeCell ref="B120:B121"/>
    <mergeCell ref="F160:F161"/>
    <mergeCell ref="G248:G249"/>
    <mergeCell ref="D209:D210"/>
    <mergeCell ref="A86:A87"/>
    <mergeCell ref="B339:B340"/>
    <mergeCell ref="B24:B25"/>
    <mergeCell ref="D395:D396"/>
    <mergeCell ref="C150:C151"/>
    <mergeCell ref="G281:G282"/>
    <mergeCell ref="B355:B356"/>
    <mergeCell ref="G96:G97"/>
    <mergeCell ref="D271:D272"/>
    <mergeCell ref="B50:B51"/>
    <mergeCell ref="E209:E210"/>
    <mergeCell ref="A114:A115"/>
    <mergeCell ref="E203:E204"/>
    <mergeCell ref="D237:D238"/>
    <mergeCell ref="F329:F330"/>
    <mergeCell ref="B52:B53"/>
    <mergeCell ref="D108:D109"/>
    <mergeCell ref="F301:F302"/>
    <mergeCell ref="G267:G268"/>
    <mergeCell ref="F295:F296"/>
    <mergeCell ref="C134:C135"/>
    <mergeCell ref="F331:F332"/>
    <mergeCell ref="F303:F304"/>
    <mergeCell ref="F26:F27"/>
    <mergeCell ref="E229:E230"/>
    <mergeCell ref="A311:A312"/>
    <mergeCell ref="G22:G23"/>
    <mergeCell ref="D250:D251"/>
    <mergeCell ref="D38:D39"/>
    <mergeCell ref="A254:A256"/>
    <mergeCell ref="F225:F226"/>
    <mergeCell ref="F16:F17"/>
    <mergeCell ref="G351:G352"/>
    <mergeCell ref="D40:D41"/>
    <mergeCell ref="F227:F228"/>
    <mergeCell ref="A339:A340"/>
    <mergeCell ref="A26:A27"/>
    <mergeCell ref="B116:B117"/>
    <mergeCell ref="E275:E276"/>
    <mergeCell ref="D339:D340"/>
    <mergeCell ref="B118:B119"/>
    <mergeCell ref="F96:F97"/>
    <mergeCell ref="C244:C245"/>
    <mergeCell ref="A181:A182"/>
    <mergeCell ref="A357:A358"/>
    <mergeCell ref="A52:A53"/>
    <mergeCell ref="E301:E302"/>
    <mergeCell ref="B134:B135"/>
    <mergeCell ref="C116:C117"/>
    <mergeCell ref="B144:B145"/>
    <mergeCell ref="E303:E304"/>
    <mergeCell ref="G359:G360"/>
    <mergeCell ref="D233:D234"/>
    <mergeCell ref="G367:G368"/>
    <mergeCell ref="C239:C241"/>
    <mergeCell ref="F297:F298"/>
    <mergeCell ref="F327:F328"/>
    <mergeCell ref="E16:E17"/>
    <mergeCell ref="E233:E234"/>
    <mergeCell ref="E227:E228"/>
    <mergeCell ref="E18:E19"/>
    <mergeCell ref="G291:G292"/>
    <mergeCell ref="D246:D247"/>
    <mergeCell ref="G293:G294"/>
    <mergeCell ref="B219:B220"/>
    <mergeCell ref="F12:F13"/>
    <mergeCell ref="D248:D249"/>
    <mergeCell ref="C309:C310"/>
    <mergeCell ref="D275:D276"/>
    <mergeCell ref="A124:A125"/>
    <mergeCell ref="A118:A119"/>
    <mergeCell ref="C311:C312"/>
    <mergeCell ref="A126:A127"/>
    <mergeCell ref="E375:E376"/>
    <mergeCell ref="E369:E370"/>
    <mergeCell ref="E246:E247"/>
    <mergeCell ref="F38:F39"/>
    <mergeCell ref="G4:G5"/>
    <mergeCell ref="B201:B202"/>
    <mergeCell ref="A265:A266"/>
    <mergeCell ref="D309:D310"/>
    <mergeCell ref="D303:D304"/>
    <mergeCell ref="A142:A143"/>
    <mergeCell ref="F367:F368"/>
    <mergeCell ref="C24:C25"/>
    <mergeCell ref="B239:B241"/>
    <mergeCell ref="E297:E298"/>
    <mergeCell ref="F369:F370"/>
    <mergeCell ref="E88:E89"/>
    <mergeCell ref="B263:B264"/>
    <mergeCell ref="E299:E300"/>
    <mergeCell ref="B229:B230"/>
    <mergeCell ref="C114:C115"/>
    <mergeCell ref="G363:G364"/>
    <mergeCell ref="G357:G358"/>
    <mergeCell ref="D16:D17"/>
    <mergeCell ref="G58:G59"/>
    <mergeCell ref="F122:F123"/>
    <mergeCell ref="D347:D348"/>
    <mergeCell ref="D18:D19"/>
    <mergeCell ref="G60:G61"/>
    <mergeCell ref="D235:D236"/>
    <mergeCell ref="F293:F294"/>
    <mergeCell ref="E12:E13"/>
    <mergeCell ref="C248:C249"/>
    <mergeCell ref="E14:E15"/>
    <mergeCell ref="G385:G386"/>
    <mergeCell ref="G70:G71"/>
    <mergeCell ref="D217:D218"/>
    <mergeCell ref="G122:G123"/>
    <mergeCell ref="G78:G79"/>
    <mergeCell ref="D375:D376"/>
    <mergeCell ref="C281:C282"/>
    <mergeCell ref="E38:E39"/>
    <mergeCell ref="D377:D378"/>
    <mergeCell ref="E46:E47"/>
    <mergeCell ref="E40:E41"/>
    <mergeCell ref="B329:B330"/>
    <mergeCell ref="G104:G105"/>
    <mergeCell ref="C267:C268"/>
    <mergeCell ref="B331:B332"/>
    <mergeCell ref="D393:D394"/>
    <mergeCell ref="G106:G107"/>
    <mergeCell ref="B32:B33"/>
    <mergeCell ref="G166:G172"/>
    <mergeCell ref="D88:D89"/>
    <mergeCell ref="G254:G256"/>
    <mergeCell ref="D299:D300"/>
    <mergeCell ref="A229:A230"/>
    <mergeCell ref="D90:D91"/>
    <mergeCell ref="G126:G127"/>
    <mergeCell ref="F363:F364"/>
    <mergeCell ref="C20:C21"/>
    <mergeCell ref="F154:F155"/>
    <mergeCell ref="B357:B358"/>
    <mergeCell ref="F365:F366"/>
    <mergeCell ref="E84:E85"/>
    <mergeCell ref="C22:C23"/>
    <mergeCell ref="C295:C296"/>
    <mergeCell ref="B259:B260"/>
    <mergeCell ref="G28:G29"/>
    <mergeCell ref="B225:B226"/>
    <mergeCell ref="E86:E87"/>
    <mergeCell ref="G142:G143"/>
    <mergeCell ref="G152:G153"/>
    <mergeCell ref="G30:G31"/>
    <mergeCell ref="D319:D320"/>
    <mergeCell ref="D20:D21"/>
    <mergeCell ref="C48:C49"/>
    <mergeCell ref="D14:D15"/>
    <mergeCell ref="F207:F208"/>
    <mergeCell ref="E112:E113"/>
    <mergeCell ref="F78:F79"/>
    <mergeCell ref="C375:C376"/>
    <mergeCell ref="F80:F81"/>
    <mergeCell ref="C377:C378"/>
    <mergeCell ref="B96:B97"/>
    <mergeCell ref="D345:D346"/>
    <mergeCell ref="C349:C350"/>
    <mergeCell ref="D46:D47"/>
    <mergeCell ref="G199:G200"/>
    <mergeCell ref="D48:D49"/>
    <mergeCell ref="D4:D5"/>
    <mergeCell ref="F104:F105"/>
    <mergeCell ref="A301:A302"/>
    <mergeCell ref="B267:B268"/>
    <mergeCell ref="A179:A180"/>
    <mergeCell ref="D373:D374"/>
    <mergeCell ref="F106:F107"/>
    <mergeCell ref="A32:A33"/>
    <mergeCell ref="A303:A304"/>
    <mergeCell ref="F166:F172"/>
    <mergeCell ref="C359:C360"/>
    <mergeCell ref="C395:C396"/>
    <mergeCell ref="E36:E37"/>
    <mergeCell ref="C96:C97"/>
    <mergeCell ref="D1:F1"/>
    <mergeCell ref="G100:G101"/>
    <mergeCell ref="G102:G103"/>
    <mergeCell ref="D84:D85"/>
    <mergeCell ref="B295:B296"/>
    <mergeCell ref="E337:E338"/>
    <mergeCell ref="A225:A226"/>
    <mergeCell ref="D86:D87"/>
    <mergeCell ref="D359:D360"/>
    <mergeCell ref="A16:A17"/>
    <mergeCell ref="A233:A234"/>
    <mergeCell ref="F30:F31"/>
    <mergeCell ref="A227:A228"/>
    <mergeCell ref="F150:F151"/>
    <mergeCell ref="F144:F145"/>
    <mergeCell ref="C291:C292"/>
    <mergeCell ref="E207:E208"/>
    <mergeCell ref="C293:C294"/>
    <mergeCell ref="D112:D113"/>
    <mergeCell ref="G271:G272"/>
    <mergeCell ref="E50:E51"/>
    <mergeCell ref="D114:D115"/>
    <mergeCell ref="G273:G274"/>
    <mergeCell ref="B227:B228"/>
    <mergeCell ref="A246:A247"/>
    <mergeCell ref="C4:C5"/>
    <mergeCell ref="C373:C374"/>
    <mergeCell ref="E166:E172"/>
    <mergeCell ref="G195:G196"/>
    <mergeCell ref="B367:B368"/>
    <mergeCell ref="F100:F101"/>
    <mergeCell ref="A297:A298"/>
    <mergeCell ref="F231:F232"/>
    <mergeCell ref="G197:G198"/>
    <mergeCell ref="B369:B370"/>
    <mergeCell ref="F102:F103"/>
    <mergeCell ref="A299:A300"/>
    <mergeCell ref="F191:F192"/>
    <mergeCell ref="C363:C364"/>
    <mergeCell ref="C357:C358"/>
    <mergeCell ref="C58:C59"/>
    <mergeCell ref="B122:B123"/>
    <mergeCell ref="G223:G224"/>
    <mergeCell ref="E150:E151"/>
    <mergeCell ref="G179:G180"/>
    <mergeCell ref="G337:G338"/>
    <mergeCell ref="B297:B298"/>
    <mergeCell ref="B291:B292"/>
    <mergeCell ref="E152:E153"/>
    <mergeCell ref="F242:F243"/>
    <mergeCell ref="B82:B83"/>
    <mergeCell ref="E118:E119"/>
    <mergeCell ref="B293:B294"/>
    <mergeCell ref="D355:D356"/>
    <mergeCell ref="A12:A13"/>
    <mergeCell ref="F244:F245"/>
    <mergeCell ref="D181:D182"/>
    <mergeCell ref="D357:D358"/>
    <mergeCell ref="A14:A15"/>
    <mergeCell ref="C70:C71"/>
    <mergeCell ref="F273:F274"/>
    <mergeCell ref="C122:C123"/>
    <mergeCell ref="C78:C79"/>
    <mergeCell ref="E134:E135"/>
    <mergeCell ref="E144:E145"/>
    <mergeCell ref="A38:A39"/>
    <mergeCell ref="B4:B5"/>
    <mergeCell ref="G242:G243"/>
    <mergeCell ref="D110:D111"/>
    <mergeCell ref="A40:A41"/>
    <mergeCell ref="D199:D200"/>
    <mergeCell ref="B136:B137"/>
    <mergeCell ref="C104:C105"/>
    <mergeCell ref="D70:D71"/>
    <mergeCell ref="A367:A368"/>
    <mergeCell ref="A369:A370"/>
    <mergeCell ref="E191:E192"/>
    <mergeCell ref="E110:E111"/>
    <mergeCell ref="B363:B364"/>
    <mergeCell ref="B154:B155"/>
    <mergeCell ref="B365:B366"/>
    <mergeCell ref="C28:C29"/>
    <mergeCell ref="F187:F188"/>
    <mergeCell ref="A82:A83"/>
    <mergeCell ref="D124:D125"/>
    <mergeCell ref="C30:C31"/>
    <mergeCell ref="E92:E93"/>
    <mergeCell ref="F189:F190"/>
    <mergeCell ref="G8:G9"/>
    <mergeCell ref="C146:C147"/>
    <mergeCell ref="D297:D298"/>
    <mergeCell ref="E252:E253"/>
    <mergeCell ref="G10:G11"/>
    <mergeCell ref="D263:D264"/>
    <mergeCell ref="B78:B79"/>
    <mergeCell ref="D134:D135"/>
    <mergeCell ref="F215:F216"/>
    <mergeCell ref="B80:B81"/>
    <mergeCell ref="G150:G151"/>
    <mergeCell ref="B104:B105"/>
    <mergeCell ref="E263:E264"/>
    <mergeCell ref="F112:F113"/>
    <mergeCell ref="B106:B107"/>
    <mergeCell ref="B166:B172"/>
    <mergeCell ref="E265:E266"/>
    <mergeCell ref="D195:D196"/>
    <mergeCell ref="G233:G234"/>
    <mergeCell ref="C100:C101"/>
    <mergeCell ref="A363:A364"/>
    <mergeCell ref="D197:D198"/>
    <mergeCell ref="F259:F260"/>
    <mergeCell ref="A154:A155"/>
    <mergeCell ref="G235:G236"/>
    <mergeCell ref="A365:A366"/>
    <mergeCell ref="D221:D222"/>
    <mergeCell ref="E187:E188"/>
    <mergeCell ref="B30:B31"/>
    <mergeCell ref="D223:D224"/>
    <mergeCell ref="E189:E190"/>
    <mergeCell ref="B150:B151"/>
    <mergeCell ref="F279:F280"/>
    <mergeCell ref="C126:C127"/>
    <mergeCell ref="G217:G218"/>
    <mergeCell ref="D94:D95"/>
    <mergeCell ref="G375:G376"/>
    <mergeCell ref="D252:D253"/>
    <mergeCell ref="F281:F282"/>
    <mergeCell ref="A207:A208"/>
    <mergeCell ref="F10:F11"/>
    <mergeCell ref="A84:A85"/>
    <mergeCell ref="A78:A79"/>
    <mergeCell ref="G377:G378"/>
    <mergeCell ref="C271:C272"/>
    <mergeCell ref="A385:A386"/>
    <mergeCell ref="A50:A51"/>
    <mergeCell ref="E215:E216"/>
    <mergeCell ref="C142:C143"/>
    <mergeCell ref="A80:A81"/>
    <mergeCell ref="C273:C274"/>
    <mergeCell ref="E329:E330"/>
    <mergeCell ref="G6:G7"/>
    <mergeCell ref="G393:G394"/>
    <mergeCell ref="E32:E33"/>
    <mergeCell ref="A104:A105"/>
    <mergeCell ref="B207:B208"/>
    <mergeCell ref="G395:G396"/>
    <mergeCell ref="E162:E165"/>
    <mergeCell ref="B173:B174"/>
    <mergeCell ref="A112:A113"/>
    <mergeCell ref="A106:A107"/>
    <mergeCell ref="A166:A172"/>
    <mergeCell ref="D265:D266"/>
    <mergeCell ref="C195:C196"/>
    <mergeCell ref="B100:B101"/>
    <mergeCell ref="E259:E260"/>
    <mergeCell ref="B102:B103"/>
    <mergeCell ref="E261:E262"/>
    <mergeCell ref="G317:G318"/>
    <mergeCell ref="B191:B192"/>
    <mergeCell ref="D160:D161"/>
    <mergeCell ref="G319:G320"/>
    <mergeCell ref="G20:G21"/>
    <mergeCell ref="G14:G15"/>
    <mergeCell ref="C223:C224"/>
    <mergeCell ref="A150:A151"/>
    <mergeCell ref="C337:C338"/>
    <mergeCell ref="E287:E288"/>
    <mergeCell ref="A152:A153"/>
    <mergeCell ref="G343:G344"/>
    <mergeCell ref="E289:E290"/>
    <mergeCell ref="F377:F378"/>
    <mergeCell ref="G345:G346"/>
    <mergeCell ref="B271:B272"/>
    <mergeCell ref="G46:G47"/>
    <mergeCell ref="E160:E161"/>
    <mergeCell ref="G40:G41"/>
    <mergeCell ref="B273:B274"/>
    <mergeCell ref="G48:G49"/>
    <mergeCell ref="D179:D180"/>
    <mergeCell ref="D337:D338"/>
    <mergeCell ref="D331:D332"/>
    <mergeCell ref="F393:F394"/>
    <mergeCell ref="G373:G374"/>
    <mergeCell ref="D32:D33"/>
    <mergeCell ref="F395:F396"/>
    <mergeCell ref="G187:G188"/>
    <mergeCell ref="E2:E3"/>
    <mergeCell ref="E335:E336"/>
    <mergeCell ref="A20:A21"/>
    <mergeCell ref="G84:G85"/>
    <mergeCell ref="B197:B198"/>
    <mergeCell ref="A102:A103"/>
    <mergeCell ref="G86:G87"/>
    <mergeCell ref="D261:D262"/>
    <mergeCell ref="A191:A192"/>
    <mergeCell ref="E142:E143"/>
    <mergeCell ref="A110:A111"/>
    <mergeCell ref="F325:F326"/>
    <mergeCell ref="E353:E354"/>
    <mergeCell ref="F319:F320"/>
    <mergeCell ref="F20:F21"/>
    <mergeCell ref="F291:F292"/>
    <mergeCell ref="F22:F23"/>
    <mergeCell ref="G112:G113"/>
    <mergeCell ref="B187:B188"/>
    <mergeCell ref="D287:D288"/>
    <mergeCell ref="G148:G149"/>
    <mergeCell ref="E225:E226"/>
    <mergeCell ref="G114:G115"/>
    <mergeCell ref="D289:D290"/>
    <mergeCell ref="C8:C9"/>
    <mergeCell ref="A244:A245"/>
    <mergeCell ref="F345:F346"/>
    <mergeCell ref="F46:F47"/>
    <mergeCell ref="F353:F354"/>
    <mergeCell ref="E66:E67"/>
    <mergeCell ref="F4:F5"/>
    <mergeCell ref="B213:B214"/>
    <mergeCell ref="C179:C180"/>
    <mergeCell ref="E68:E69"/>
    <mergeCell ref="G130:G131"/>
    <mergeCell ref="B215:B216"/>
    <mergeCell ref="B242:B243"/>
    <mergeCell ref="G132:G133"/>
    <mergeCell ref="E367:E368"/>
    <mergeCell ref="B244:B245"/>
    <mergeCell ref="D2:D3"/>
    <mergeCell ref="F66:F67"/>
    <mergeCell ref="A263:A264"/>
    <mergeCell ref="E94:E95"/>
    <mergeCell ref="D335:D336"/>
    <mergeCell ref="A134:A135"/>
    <mergeCell ref="F391:F392"/>
    <mergeCell ref="C233:C234"/>
    <mergeCell ref="G56:G57"/>
    <mergeCell ref="C235:C236"/>
    <mergeCell ref="D361:D362"/>
    <mergeCell ref="E293:E294"/>
    <mergeCell ref="G355:G356"/>
    <mergeCell ref="A187:A188"/>
    <mergeCell ref="E138:E139"/>
    <mergeCell ref="F114:F115"/>
    <mergeCell ref="A189:A190"/>
    <mergeCell ref="B10:B11"/>
    <mergeCell ref="D74:D75"/>
    <mergeCell ref="F130:F131"/>
    <mergeCell ref="F261:F262"/>
    <mergeCell ref="G110:G111"/>
    <mergeCell ref="B309:B310"/>
    <mergeCell ref="A215:A216"/>
    <mergeCell ref="F132:F133"/>
    <mergeCell ref="A329:A330"/>
    <mergeCell ref="B311:B312"/>
    <mergeCell ref="C279:C280"/>
    <mergeCell ref="C393:C394"/>
    <mergeCell ref="D369:D370"/>
    <mergeCell ref="A162:A165"/>
    <mergeCell ref="B152:B153"/>
    <mergeCell ref="C335:C336"/>
    <mergeCell ref="A355:A356"/>
    <mergeCell ref="E363:E364"/>
    <mergeCell ref="E365:E366"/>
    <mergeCell ref="F62:F63"/>
    <mergeCell ref="E179:E180"/>
    <mergeCell ref="F28:F29"/>
    <mergeCell ref="F64:F65"/>
    <mergeCell ref="C361:C362"/>
    <mergeCell ref="C327:C328"/>
    <mergeCell ref="G183:G184"/>
    <mergeCell ref="E391:E392"/>
    <mergeCell ref="C14:C15"/>
    <mergeCell ref="G185:G186"/>
    <mergeCell ref="D140:D141"/>
    <mergeCell ref="A70:A71"/>
    <mergeCell ref="E122:E123"/>
    <mergeCell ref="E78:E79"/>
    <mergeCell ref="A287:A288"/>
    <mergeCell ref="A281:A282"/>
    <mergeCell ref="C343:C344"/>
    <mergeCell ref="A158:A159"/>
    <mergeCell ref="B377:B378"/>
    <mergeCell ref="C345:C346"/>
    <mergeCell ref="F110:F111"/>
    <mergeCell ref="C46:C47"/>
    <mergeCell ref="D12:D13"/>
    <mergeCell ref="C40:C41"/>
    <mergeCell ref="F199:F200"/>
    <mergeCell ref="C76:C77"/>
    <mergeCell ref="G325:G326"/>
    <mergeCell ref="E104:E105"/>
    <mergeCell ref="B393:B394"/>
    <mergeCell ref="E106:E107"/>
    <mergeCell ref="B281:B282"/>
    <mergeCell ref="F257:F258"/>
    <mergeCell ref="B395:B396"/>
    <mergeCell ref="G38:G39"/>
    <mergeCell ref="C277:C278"/>
    <mergeCell ref="C84:C85"/>
    <mergeCell ref="A331:A332"/>
    <mergeCell ref="E28:E29"/>
    <mergeCell ref="E30:E31"/>
    <mergeCell ref="G92:G93"/>
    <mergeCell ref="B325:B326"/>
    <mergeCell ref="F156:F157"/>
    <mergeCell ref="B319:B320"/>
    <mergeCell ref="G94:G95"/>
    <mergeCell ref="B20:B21"/>
    <mergeCell ref="G252:G253"/>
    <mergeCell ref="D207:D208"/>
    <mergeCell ref="D383:D384"/>
    <mergeCell ref="B22:B23"/>
    <mergeCell ref="F271:F272"/>
    <mergeCell ref="D385:D386"/>
    <mergeCell ref="F142:F143"/>
    <mergeCell ref="B351:B352"/>
    <mergeCell ref="B345:B346"/>
    <mergeCell ref="B46:B47"/>
    <mergeCell ref="B353:B354"/>
    <mergeCell ref="B38:B39"/>
    <mergeCell ref="A66:A67"/>
    <mergeCell ref="B48:B49"/>
    <mergeCell ref="D104:D105"/>
    <mergeCell ref="G263:G264"/>
    <mergeCell ref="C130:C131"/>
    <mergeCell ref="A393:A394"/>
    <mergeCell ref="B373:B374"/>
    <mergeCell ref="D106:D107"/>
    <mergeCell ref="G265:G266"/>
    <mergeCell ref="A395:A396"/>
    <mergeCell ref="F195:F196"/>
    <mergeCell ref="C72:C73"/>
    <mergeCell ref="A96:A97"/>
    <mergeCell ref="G321:G322"/>
    <mergeCell ref="B189:B190"/>
    <mergeCell ref="E100:E101"/>
    <mergeCell ref="F197:F198"/>
    <mergeCell ref="E136:E137"/>
    <mergeCell ref="B66:B67"/>
    <mergeCell ref="E102:E103"/>
    <mergeCell ref="G158:G159"/>
    <mergeCell ref="G160:G161"/>
    <mergeCell ref="F221:F222"/>
    <mergeCell ref="B86:B87"/>
    <mergeCell ref="D36:D37"/>
    <mergeCell ref="F223:F224"/>
    <mergeCell ref="G189:G190"/>
    <mergeCell ref="D150:D151"/>
    <mergeCell ref="F94:F95"/>
    <mergeCell ref="A327:A328"/>
    <mergeCell ref="A22:A23"/>
    <mergeCell ref="A293:A294"/>
    <mergeCell ref="B112:B113"/>
    <mergeCell ref="E271:E272"/>
    <mergeCell ref="C385:C386"/>
    <mergeCell ref="D177:D178"/>
    <mergeCell ref="C86:C87"/>
    <mergeCell ref="B114:B115"/>
    <mergeCell ref="G215:G216"/>
    <mergeCell ref="D54:D55"/>
    <mergeCell ref="E273:E274"/>
    <mergeCell ref="A353:A354"/>
    <mergeCell ref="A48:A49"/>
    <mergeCell ref="A319:A320"/>
    <mergeCell ref="E175:E176"/>
    <mergeCell ref="B130:B131"/>
    <mergeCell ref="C112:C113"/>
    <mergeCell ref="E177:E178"/>
    <mergeCell ref="B132:B133"/>
    <mergeCell ref="G205:G206"/>
    <mergeCell ref="A195:A196"/>
    <mergeCell ref="E197:E198"/>
    <mergeCell ref="G259:G260"/>
    <mergeCell ref="D102:D103"/>
    <mergeCell ref="G261:G262"/>
    <mergeCell ref="D191:D192"/>
    <mergeCell ref="A68:A69"/>
    <mergeCell ref="B158:B159"/>
    <mergeCell ref="E317:E318"/>
    <mergeCell ref="B160:B161"/>
    <mergeCell ref="E223:E224"/>
    <mergeCell ref="E231:E232"/>
    <mergeCell ref="G287:G288"/>
    <mergeCell ref="D242:D243"/>
    <mergeCell ref="G279:G280"/>
    <mergeCell ref="F307:F308"/>
    <mergeCell ref="G289:G290"/>
    <mergeCell ref="F8:F9"/>
    <mergeCell ref="D244:D245"/>
    <mergeCell ref="D273:D274"/>
    <mergeCell ref="A122:A123"/>
    <mergeCell ref="F179:F180"/>
    <mergeCell ref="F337:F338"/>
    <mergeCell ref="G305:G306"/>
    <mergeCell ref="E242:E243"/>
    <mergeCell ref="G307:G308"/>
    <mergeCell ref="B110:B111"/>
    <mergeCell ref="E244:E245"/>
    <mergeCell ref="G2:G3"/>
    <mergeCell ref="B199:B200"/>
    <mergeCell ref="A138:A139"/>
    <mergeCell ref="A132:A133"/>
    <mergeCell ref="C325:C326"/>
    <mergeCell ref="B385:B386"/>
    <mergeCell ref="F205:F206"/>
    <mergeCell ref="B70:B71"/>
    <mergeCell ref="G327:G328"/>
    <mergeCell ref="E383:E384"/>
    <mergeCell ref="E385:E386"/>
    <mergeCell ref="E173:E174"/>
    <mergeCell ref="G162:G165"/>
    <mergeCell ref="C110:C111"/>
    <mergeCell ref="D317:D318"/>
    <mergeCell ref="G353:G354"/>
    <mergeCell ref="A160:A161"/>
    <mergeCell ref="A62:A63"/>
    <mergeCell ref="G361:G362"/>
    <mergeCell ref="A34:A35"/>
    <mergeCell ref="A28:A29"/>
    <mergeCell ref="D231:D232"/>
    <mergeCell ref="D187:D188"/>
    <mergeCell ref="A64:A65"/>
    <mergeCell ref="E313:E314"/>
    <mergeCell ref="A30:A31"/>
    <mergeCell ref="C92:C93"/>
    <mergeCell ref="D189:D190"/>
    <mergeCell ref="F289:F290"/>
    <mergeCell ref="E8:E9"/>
    <mergeCell ref="B156:B157"/>
    <mergeCell ref="G371:G372"/>
    <mergeCell ref="C94:C95"/>
    <mergeCell ref="C252:C253"/>
    <mergeCell ref="E10:E11"/>
    <mergeCell ref="G283:G284"/>
    <mergeCell ref="D213:D214"/>
    <mergeCell ref="G74:G75"/>
    <mergeCell ref="G68:G69"/>
    <mergeCell ref="B28:B29"/>
    <mergeCell ref="G285:G286"/>
    <mergeCell ref="D215:D216"/>
    <mergeCell ref="B142:B143"/>
    <mergeCell ref="G76:G77"/>
    <mergeCell ref="A199:A200"/>
    <mergeCell ref="B327:B328"/>
    <mergeCell ref="D389:D390"/>
    <mergeCell ref="F335:F336"/>
    <mergeCell ref="C265:C266"/>
    <mergeCell ref="C321:C322"/>
    <mergeCell ref="D259:D260"/>
    <mergeCell ref="F203:F204"/>
    <mergeCell ref="F361:F362"/>
    <mergeCell ref="F317:F318"/>
    <mergeCell ref="E381:E382"/>
    <mergeCell ref="B257:B258"/>
    <mergeCell ref="G138:G139"/>
    <mergeCell ref="D313:D314"/>
    <mergeCell ref="B92:B93"/>
    <mergeCell ref="G26:G27"/>
    <mergeCell ref="C189:C190"/>
    <mergeCell ref="G140:G141"/>
    <mergeCell ref="D315:D316"/>
    <mergeCell ref="C34:C35"/>
    <mergeCell ref="B94:B95"/>
    <mergeCell ref="B252:B253"/>
    <mergeCell ref="F343:F344"/>
    <mergeCell ref="F379:F380"/>
    <mergeCell ref="D158:D159"/>
    <mergeCell ref="F74:F75"/>
    <mergeCell ref="A271:A272"/>
    <mergeCell ref="G42:G43"/>
    <mergeCell ref="F285:F286"/>
    <mergeCell ref="F76:F77"/>
    <mergeCell ref="E279:E280"/>
    <mergeCell ref="A144:A145"/>
    <mergeCell ref="D28:D29"/>
    <mergeCell ref="E281:E282"/>
    <mergeCell ref="A175:A176"/>
    <mergeCell ref="F92:F93"/>
    <mergeCell ref="D211:D212"/>
    <mergeCell ref="G72:G73"/>
    <mergeCell ref="B265:B266"/>
    <mergeCell ref="C355:C356"/>
    <mergeCell ref="C391:C392"/>
    <mergeCell ref="F275:F276"/>
    <mergeCell ref="D329:D330"/>
    <mergeCell ref="F6:F7"/>
    <mergeCell ref="A197:A198"/>
    <mergeCell ref="C259:C260"/>
    <mergeCell ref="B323:B324"/>
    <mergeCell ref="G98:G99"/>
    <mergeCell ref="C261:C262"/>
    <mergeCell ref="D387:D388"/>
    <mergeCell ref="A317:A318"/>
    <mergeCell ref="E319:E320"/>
    <mergeCell ref="G269:G270"/>
    <mergeCell ref="A223:A224"/>
    <mergeCell ref="G383:G384"/>
    <mergeCell ref="A100:A101"/>
    <mergeCell ref="A231:A232"/>
    <mergeCell ref="C287:C288"/>
    <mergeCell ref="F148:F149"/>
    <mergeCell ref="C158:C159"/>
    <mergeCell ref="C289:C290"/>
    <mergeCell ref="E351:E352"/>
    <mergeCell ref="E345:E346"/>
    <mergeCell ref="D100:D101"/>
    <mergeCell ref="C160:C161"/>
    <mergeCell ref="F44:F45"/>
    <mergeCell ref="E48:E49"/>
    <mergeCell ref="B223:B224"/>
    <mergeCell ref="B179:B180"/>
    <mergeCell ref="B337:B338"/>
    <mergeCell ref="C305:C306"/>
    <mergeCell ref="E221:E222"/>
    <mergeCell ref="F18:F19"/>
    <mergeCell ref="D281:D282"/>
    <mergeCell ref="A242:A243"/>
    <mergeCell ref="F72:F73"/>
    <mergeCell ref="C2:C3"/>
    <mergeCell ref="B205:B206"/>
    <mergeCell ref="E277:E278"/>
    <mergeCell ref="G333:G334"/>
    <mergeCell ref="G193:G194"/>
    <mergeCell ref="F98:F99"/>
    <mergeCell ref="B261:B262"/>
    <mergeCell ref="C387:C388"/>
    <mergeCell ref="G36:G37"/>
    <mergeCell ref="D325:D326"/>
    <mergeCell ref="C353:C354"/>
    <mergeCell ref="G209:G210"/>
    <mergeCell ref="F383:F384"/>
    <mergeCell ref="G175:G176"/>
    <mergeCell ref="B287:B288"/>
    <mergeCell ref="E148:E149"/>
    <mergeCell ref="F385:F386"/>
    <mergeCell ref="G177:G178"/>
    <mergeCell ref="A313:A314"/>
    <mergeCell ref="G335:G336"/>
    <mergeCell ref="B289:B290"/>
    <mergeCell ref="D351:D352"/>
    <mergeCell ref="A8:A9"/>
    <mergeCell ref="C371:C372"/>
    <mergeCell ref="D353:D354"/>
    <mergeCell ref="A10:A11"/>
    <mergeCell ref="C102:C103"/>
    <mergeCell ref="C74:C75"/>
    <mergeCell ref="G203:G204"/>
    <mergeCell ref="A337:A338"/>
    <mergeCell ref="E130:E131"/>
    <mergeCell ref="C68:C69"/>
    <mergeCell ref="B305:B306"/>
    <mergeCell ref="E132:E133"/>
    <mergeCell ref="B307:B308"/>
    <mergeCell ref="B8:B9"/>
    <mergeCell ref="A36:A37"/>
    <mergeCell ref="B2:B3"/>
    <mergeCell ref="D371:D372"/>
    <mergeCell ref="A205:A206"/>
    <mergeCell ref="D66:D67"/>
    <mergeCell ref="D277:D278"/>
    <mergeCell ref="B335:B336"/>
    <mergeCell ref="D68:D69"/>
    <mergeCell ref="E158:E159"/>
    <mergeCell ref="G250:G251"/>
    <mergeCell ref="F341:F342"/>
    <mergeCell ref="B162:B165"/>
    <mergeCell ref="E62:E63"/>
    <mergeCell ref="E56:E57"/>
    <mergeCell ref="B203:B204"/>
    <mergeCell ref="B361:B362"/>
    <mergeCell ref="G120:G121"/>
    <mergeCell ref="A383:A384"/>
    <mergeCell ref="F183:F184"/>
    <mergeCell ref="E205:E206"/>
    <mergeCell ref="C26:C27"/>
    <mergeCell ref="F185:F186"/>
    <mergeCell ref="D122:D123"/>
    <mergeCell ref="E90:E91"/>
    <mergeCell ref="F56:F57"/>
    <mergeCell ref="G146:G147"/>
    <mergeCell ref="B379:B380"/>
    <mergeCell ref="B74:B75"/>
    <mergeCell ref="B285:B286"/>
    <mergeCell ref="B76:B77"/>
    <mergeCell ref="D138:D139"/>
    <mergeCell ref="D132:D133"/>
    <mergeCell ref="D349:D350"/>
    <mergeCell ref="A279:A280"/>
    <mergeCell ref="A335:A336"/>
    <mergeCell ref="B6:B7"/>
    <mergeCell ref="C213:C214"/>
    <mergeCell ref="D62:D63"/>
    <mergeCell ref="D193:D194"/>
    <mergeCell ref="G221:G222"/>
    <mergeCell ref="G231:G232"/>
    <mergeCell ref="A203:A204"/>
    <mergeCell ref="D64:D65"/>
    <mergeCell ref="A361:A362"/>
    <mergeCell ref="E154:E155"/>
    <mergeCell ref="F120:F121"/>
    <mergeCell ref="G246:G247"/>
    <mergeCell ref="E183:E184"/>
    <mergeCell ref="B26:B27"/>
    <mergeCell ref="F252:F253"/>
    <mergeCell ref="E185:E186"/>
    <mergeCell ref="B140:B141"/>
    <mergeCell ref="F267:F268"/>
    <mergeCell ref="F146:F147"/>
    <mergeCell ref="B148:B149"/>
    <mergeCell ref="A343:A344"/>
    <mergeCell ref="F277:F278"/>
    <mergeCell ref="A379:A380"/>
    <mergeCell ref="A351:A352"/>
    <mergeCell ref="A74:A75"/>
    <mergeCell ref="A345:A346"/>
    <mergeCell ref="A381:A382"/>
    <mergeCell ref="E201:E202"/>
    <mergeCell ref="A46:A47"/>
    <mergeCell ref="A76:A77"/>
    <mergeCell ref="C138:C139"/>
    <mergeCell ref="B44:B45"/>
    <mergeCell ref="E325:E326"/>
    <mergeCell ref="C140:C141"/>
    <mergeCell ref="E327:E328"/>
    <mergeCell ref="G389:G390"/>
    <mergeCell ref="B343:B344"/>
    <mergeCell ref="D239:D241"/>
    <mergeCell ref="A92:A93"/>
    <mergeCell ref="G391:G392"/>
    <mergeCell ref="A94:A95"/>
    <mergeCell ref="D136:D137"/>
    <mergeCell ref="E343:E344"/>
    <mergeCell ref="A6:A7"/>
    <mergeCell ref="C193:C194"/>
    <mergeCell ref="B98:B99"/>
    <mergeCell ref="E257:E258"/>
    <mergeCell ref="G313:G314"/>
    <mergeCell ref="C36:C37"/>
    <mergeCell ref="A120:A121"/>
    <mergeCell ref="D156:D157"/>
    <mergeCell ref="G315:G316"/>
    <mergeCell ref="B269:B270"/>
    <mergeCell ref="B383:B384"/>
    <mergeCell ref="A148:A149"/>
    <mergeCell ref="E269:E270"/>
    <mergeCell ref="E285:E286"/>
    <mergeCell ref="G341:G342"/>
    <mergeCell ref="E156:E157"/>
    <mergeCell ref="G34:G35"/>
    <mergeCell ref="D175:D176"/>
    <mergeCell ref="D327:D328"/>
    <mergeCell ref="F389:F390"/>
    <mergeCell ref="A18:A19"/>
    <mergeCell ref="A72:A73"/>
    <mergeCell ref="E321:E322"/>
    <mergeCell ref="G54:G55"/>
    <mergeCell ref="E323:E324"/>
    <mergeCell ref="G387:G388"/>
    <mergeCell ref="G381:G382"/>
    <mergeCell ref="C250:C251"/>
    <mergeCell ref="B341:B342"/>
    <mergeCell ref="D257:D258"/>
    <mergeCell ref="F321:F322"/>
    <mergeCell ref="E349:E350"/>
    <mergeCell ref="F315:F316"/>
    <mergeCell ref="F287:F288"/>
    <mergeCell ref="A389:A390"/>
    <mergeCell ref="F323:F324"/>
    <mergeCell ref="B211:B212"/>
    <mergeCell ref="B183:B184"/>
    <mergeCell ref="A116:A117"/>
    <mergeCell ref="B54:B55"/>
    <mergeCell ref="B185:B186"/>
    <mergeCell ref="D254:D256"/>
    <mergeCell ref="B56:B57"/>
    <mergeCell ref="C6:C7"/>
    <mergeCell ref="F34:F35"/>
    <mergeCell ref="F305:F306"/>
    <mergeCell ref="C175:C176"/>
    <mergeCell ref="F36:F37"/>
    <mergeCell ref="E64:E65"/>
    <mergeCell ref="F2:F3"/>
    <mergeCell ref="D267:D268"/>
    <mergeCell ref="G128:G129"/>
    <mergeCell ref="G339:G340"/>
    <mergeCell ref="D269:D270"/>
    <mergeCell ref="F333:F334"/>
    <mergeCell ref="A259:A260"/>
    <mergeCell ref="A130:A131"/>
    <mergeCell ref="F387:F388"/>
    <mergeCell ref="A261:A262"/>
    <mergeCell ref="C317:C318"/>
    <mergeCell ref="C319:C320"/>
    <mergeCell ref="C221:C222"/>
    <mergeCell ref="G52:G53"/>
    <mergeCell ref="D341:D342"/>
    <mergeCell ref="C246:C247"/>
    <mergeCell ref="A183:A184"/>
    <mergeCell ref="A185:A186"/>
    <mergeCell ref="B146:B147"/>
    <mergeCell ref="E305:E306"/>
    <mergeCell ref="E307:E308"/>
    <mergeCell ref="A201:A202"/>
    <mergeCell ref="F128:F129"/>
    <mergeCell ref="E219:E220"/>
    <mergeCell ref="A325:A326"/>
    <mergeCell ref="G66:G67"/>
    <mergeCell ref="C269:C270"/>
    <mergeCell ref="C389:C390"/>
    <mergeCell ref="C383:C384"/>
    <mergeCell ref="F32:F33"/>
    <mergeCell ref="E333:E334"/>
    <mergeCell ref="G124:G125"/>
    <mergeCell ref="B317:B318"/>
    <mergeCell ref="G213:G214"/>
    <mergeCell ref="E237:E238"/>
    <mergeCell ref="F357:F358"/>
    <mergeCell ref="E361:E362"/>
    <mergeCell ref="F58:F59"/>
    <mergeCell ref="G295:G296"/>
    <mergeCell ref="B221:B222"/>
    <mergeCell ref="F60:F61"/>
    <mergeCell ref="A257:A258"/>
    <mergeCell ref="C313:C314"/>
    <mergeCell ref="A128:A129"/>
    <mergeCell ref="C315:C316"/>
    <mergeCell ref="E371:E372"/>
    <mergeCell ref="A252:A253"/>
    <mergeCell ref="C10:C11"/>
    <mergeCell ref="G181:G182"/>
    <mergeCell ref="E379:E380"/>
    <mergeCell ref="E74:E75"/>
    <mergeCell ref="F42:F43"/>
    <mergeCell ref="A269:A270"/>
    <mergeCell ref="G18:G19"/>
    <mergeCell ref="E76:E77"/>
    <mergeCell ref="A285:A286"/>
    <mergeCell ref="C341:C342"/>
    <mergeCell ref="D307:D308"/>
    <mergeCell ref="G349:G350"/>
    <mergeCell ref="D8:D9"/>
    <mergeCell ref="D279:D280"/>
    <mergeCell ref="A156:A157"/>
    <mergeCell ref="F371:F372"/>
    <mergeCell ref="D10:D11"/>
    <mergeCell ref="B389:B390"/>
    <mergeCell ref="F68:F69"/>
    <mergeCell ref="D333:D334"/>
    <mergeCell ref="B391:B392"/>
    <mergeCell ref="F124:F125"/>
    <mergeCell ref="C54:C55"/>
    <mergeCell ref="F213:F214"/>
    <mergeCell ref="G62:G63"/>
    <mergeCell ref="F126:F127"/>
    <mergeCell ref="C56:C57"/>
    <mergeCell ref="G64:G65"/>
    <mergeCell ref="E120:E121"/>
    <mergeCell ref="E331:E332"/>
    <mergeCell ref="E26:E27"/>
    <mergeCell ref="G88:G89"/>
    <mergeCell ref="B321:B322"/>
    <mergeCell ref="B315:B316"/>
    <mergeCell ref="G90:G91"/>
    <mergeCell ref="D379:D380"/>
    <mergeCell ref="E42:E43"/>
    <mergeCell ref="D381:D382"/>
    <mergeCell ref="A221:A222"/>
    <mergeCell ref="D76:D77"/>
    <mergeCell ref="F138:F139"/>
    <mergeCell ref="E44:E45"/>
    <mergeCell ref="B333:B334"/>
    <mergeCell ref="F140:F141"/>
    <mergeCell ref="B349:B350"/>
    <mergeCell ref="G108:G109"/>
    <mergeCell ref="B34:B35"/>
    <mergeCell ref="B36:B37"/>
    <mergeCell ref="D92:D93"/>
    <mergeCell ref="E72:E73"/>
    <mergeCell ref="A391:A392"/>
    <mergeCell ref="B359:B360"/>
    <mergeCell ref="C339:C340"/>
    <mergeCell ref="D6:D7"/>
    <mergeCell ref="E213:E214"/>
    <mergeCell ref="E96:E97"/>
    <mergeCell ref="F193:F194"/>
    <mergeCell ref="B62:B63"/>
    <mergeCell ref="E98:E99"/>
    <mergeCell ref="B387:B388"/>
    <mergeCell ref="D120:D121"/>
    <mergeCell ref="G156:G157"/>
    <mergeCell ref="F209:F210"/>
    <mergeCell ref="F219:F220"/>
    <mergeCell ref="D24:D25"/>
    <mergeCell ref="C52:C53"/>
    <mergeCell ref="A321:A322"/>
    <mergeCell ref="F211:F212"/>
    <mergeCell ref="F90:F91"/>
    <mergeCell ref="D148:D149"/>
    <mergeCell ref="A323:A324"/>
    <mergeCell ref="E116:E117"/>
    <mergeCell ref="F82:F83"/>
    <mergeCell ref="G32:G33"/>
    <mergeCell ref="A289:A290"/>
    <mergeCell ref="C351:C352"/>
    <mergeCell ref="C381:C382"/>
    <mergeCell ref="E22:E23"/>
    <mergeCell ref="D50:D51"/>
    <mergeCell ref="D44:D45"/>
    <mergeCell ref="F237:F238"/>
    <mergeCell ref="D52:D53"/>
    <mergeCell ref="E140:E141"/>
    <mergeCell ref="F108:F109"/>
    <mergeCell ref="A305:A306"/>
    <mergeCell ref="F239:F241"/>
    <mergeCell ref="A307:A308"/>
    <mergeCell ref="D72:D73"/>
    <mergeCell ref="A2:A3"/>
    <mergeCell ref="B128:B129"/>
    <mergeCell ref="G229:G230"/>
    <mergeCell ref="A219:A220"/>
    <mergeCell ref="F136:F137"/>
    <mergeCell ref="C66:C67"/>
    <mergeCell ref="E193:E194"/>
    <mergeCell ref="A333:A334"/>
    <mergeCell ref="F250:F251"/>
    <mergeCell ref="D98:D99"/>
    <mergeCell ref="G257:G258"/>
    <mergeCell ref="A387:A388"/>
    <mergeCell ref="F283:F284"/>
    <mergeCell ref="F40:F41"/>
    <mergeCell ref="B58:B59"/>
    <mergeCell ref="E211:E212"/>
    <mergeCell ref="B60:B61"/>
    <mergeCell ref="D116:D117"/>
    <mergeCell ref="G275:G276"/>
    <mergeCell ref="D205:D206"/>
    <mergeCell ref="E54:E55"/>
    <mergeCell ref="D118:D119"/>
    <mergeCell ref="A371:A372"/>
    <mergeCell ref="G277:G278"/>
    <mergeCell ref="C181:C182"/>
    <mergeCell ref="F175:F176"/>
    <mergeCell ref="G301:G302"/>
    <mergeCell ref="C18:C19"/>
    <mergeCell ref="F177:F178"/>
    <mergeCell ref="G303:G304"/>
    <mergeCell ref="E82:E83"/>
    <mergeCell ref="F233:F234"/>
    <mergeCell ref="B195:B196"/>
    <mergeCell ref="B371:B372"/>
    <mergeCell ref="E239:E241"/>
    <mergeCell ref="B231:B232"/>
    <mergeCell ref="F235:F236"/>
    <mergeCell ref="G323:G324"/>
    <mergeCell ref="A136:A137"/>
    <mergeCell ref="F351:F352"/>
    <mergeCell ref="B68:B69"/>
    <mergeCell ref="D130:D131"/>
    <mergeCell ref="C219:C220"/>
    <mergeCell ref="E250:E251"/>
    <mergeCell ref="B124:B125"/>
    <mergeCell ref="G225:G226"/>
    <mergeCell ref="E283:E284"/>
    <mergeCell ref="G16:G17"/>
    <mergeCell ref="C62:C63"/>
    <mergeCell ref="B126:B127"/>
    <mergeCell ref="G227:G228"/>
    <mergeCell ref="G347:G348"/>
    <mergeCell ref="C64:C65"/>
    <mergeCell ref="A58:A59"/>
    <mergeCell ref="F246:F247"/>
    <mergeCell ref="A24:A25"/>
    <mergeCell ref="A60:A61"/>
    <mergeCell ref="D183:D184"/>
    <mergeCell ref="D219:D220"/>
    <mergeCell ref="F248:F249"/>
    <mergeCell ref="E309:E310"/>
    <mergeCell ref="C88:C89"/>
    <mergeCell ref="D185:D186"/>
    <mergeCell ref="F254:F256"/>
    <mergeCell ref="C124:C125"/>
    <mergeCell ref="C118:C119"/>
    <mergeCell ref="E311:E312"/>
    <mergeCell ref="C90:C91"/>
    <mergeCell ref="D56:D57"/>
    <mergeCell ref="E6:E7"/>
    <mergeCell ref="B181:B182"/>
    <mergeCell ref="G369:G370"/>
    <mergeCell ref="D162:D165"/>
    <mergeCell ref="A42:A43"/>
    <mergeCell ref="D201:D202"/>
    <mergeCell ref="B138:B139"/>
    <mergeCell ref="A44:A45"/>
    <mergeCell ref="D203:D204"/>
    <mergeCell ref="D82:D83"/>
    <mergeCell ref="F269:F270"/>
    <mergeCell ref="C108:C109"/>
    <mergeCell ref="E24:E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55"/>
  <sheetViews>
    <sheetView showGridLines="1" workbookViewId="0">
      <selection activeCell="A1" sqref="A1"/>
    </sheetView>
  </sheetViews>
  <sheetFormatPr baseColWidth="8" defaultColWidth="14" defaultRowHeight="19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17" customHeight="1" s="26">
      <c r="A1" s="12" t="inlineStr">
        <is>
          <t>Sequence</t>
        </is>
      </c>
      <c r="B1" s="12" t="inlineStr">
        <is>
          <t>Clip</t>
        </is>
      </c>
      <c r="C1" s="12" t="inlineStr">
        <is>
          <t>Frame ID</t>
        </is>
      </c>
      <c r="D1" s="27" t="inlineStr">
        <is>
          <t>Visualizations</t>
        </is>
      </c>
      <c r="E1" s="28" t="n"/>
      <c r="F1" s="29" t="n"/>
      <c r="G1" s="12" t="inlineStr">
        <is>
          <t>Problem</t>
        </is>
      </c>
    </row>
    <row r="2" ht="25" customHeight="1" s="26">
      <c r="A2" s="27" t="inlineStr">
        <is>
          <t>2026-03-13_03-03-32</t>
        </is>
      </c>
      <c r="B2" s="27" t="inlineStr">
        <is>
          <t>1773372371604_1773372391505</t>
        </is>
      </c>
      <c r="C2" s="4" t="n">
        <v>1773372387004</v>
      </c>
      <c r="D2" s="32">
        <f>IMAGE("https://liskibruh.github.io/l4_data_sheets_table_images_mapper/l4_problematic_frames/xl/media/image629.png")</f>
        <v/>
      </c>
      <c r="E2" s="32">
        <f>IMAGE("https://liskibruh.github.io/l4_data_sheets_table_images_mapper/l4_problematic_frames/xl/media/image630.png")</f>
        <v/>
      </c>
      <c r="F2" s="30" t="n"/>
      <c r="G2" s="27" t="inlineStr">
        <is>
          <t>Miss annotation of static objects</t>
        </is>
      </c>
    </row>
    <row r="3" ht="17" customHeight="1" s="26">
      <c r="A3" s="34" t="n"/>
      <c r="B3" s="34" t="n"/>
      <c r="C3" s="10" t="n">
        <v>1773372387104</v>
      </c>
      <c r="D3" s="34" t="n"/>
      <c r="E3" s="34" t="n"/>
      <c r="F3" s="34" t="n"/>
      <c r="G3" s="34" t="n"/>
    </row>
    <row r="4" ht="17" customHeight="1" s="26">
      <c r="A4" s="33" t="n"/>
      <c r="B4" s="33" t="n"/>
      <c r="C4" s="6" t="n"/>
      <c r="D4" s="33" t="n"/>
      <c r="E4" s="33" t="n"/>
      <c r="F4" s="33" t="n"/>
      <c r="G4" s="33" t="n"/>
    </row>
    <row r="5" ht="25" customHeight="1" s="26">
      <c r="A5" s="27" t="inlineStr">
        <is>
          <t>2026-03-13_03-03-32</t>
        </is>
      </c>
      <c r="B5" s="27" t="inlineStr">
        <is>
          <t>1773372391605_1773372411505</t>
        </is>
      </c>
      <c r="C5" s="4" t="n">
        <v>1773372395804</v>
      </c>
      <c r="D5" s="32">
        <f>IMAGE("https://liskibruh.github.io/l4_data_sheets_table_images_mapper/l4_problematic_frames/xl/media/image631.png")</f>
        <v/>
      </c>
      <c r="E5" s="32">
        <f>IMAGE("https://liskibruh.github.io/l4_data_sheets_table_images_mapper/l4_problematic_frames/xl/media/image632.png")</f>
        <v/>
      </c>
      <c r="F5" s="32">
        <f>IMAGE("https://liskibruh.github.io/l4_data_sheets_table_images_mapper/l4_problematic_frames/xl/media/image633.png")</f>
        <v/>
      </c>
      <c r="G5" s="27" t="inlineStr">
        <is>
          <t>Miss annotation of vehicles</t>
        </is>
      </c>
    </row>
    <row r="6" ht="17" customHeight="1" s="26">
      <c r="A6" s="34" t="n"/>
      <c r="B6" s="34" t="n"/>
      <c r="C6" s="10" t="n">
        <v>1773372395904</v>
      </c>
      <c r="D6" s="34" t="n"/>
      <c r="E6" s="34" t="n"/>
      <c r="F6" s="34" t="n"/>
      <c r="G6" s="34" t="n"/>
    </row>
    <row r="7" ht="17" customHeight="1" s="26">
      <c r="A7" s="33" t="n"/>
      <c r="B7" s="33" t="n"/>
      <c r="C7" s="7" t="n">
        <v>1773372396005</v>
      </c>
      <c r="D7" s="33" t="n"/>
      <c r="E7" s="33" t="n"/>
      <c r="F7" s="33" t="n"/>
      <c r="G7" s="33" t="n"/>
    </row>
    <row r="8" ht="41" customHeight="1" s="26">
      <c r="A8" s="27" t="inlineStr">
        <is>
          <t>2026-03-13_03-03-32</t>
        </is>
      </c>
      <c r="B8" s="27" t="inlineStr">
        <is>
          <t>1773372391605_1773372411505</t>
        </is>
      </c>
      <c r="C8" s="4" t="n">
        <v>1773372408604</v>
      </c>
      <c r="D8" s="32">
        <f>IMAGE("https://liskibruh.github.io/l4_data_sheets_table_images_mapper/l4_problematic_frames/xl/media/image634.png")</f>
        <v/>
      </c>
      <c r="E8" s="32">
        <f>IMAGE("https://liskibruh.github.io/l4_data_sheets_table_images_mapper/l4_problematic_frames/xl/media/image635.png")</f>
        <v/>
      </c>
      <c r="F8" s="30" t="n"/>
      <c r="G8" s="27" t="inlineStr">
        <is>
          <t>Miss annotation of static objects</t>
        </is>
      </c>
    </row>
    <row r="9" ht="17" customHeight="1" s="26">
      <c r="A9" s="33" t="n"/>
      <c r="B9" s="33" t="n"/>
      <c r="C9" s="7" t="n">
        <v>1773372408804</v>
      </c>
      <c r="D9" s="33" t="n"/>
      <c r="E9" s="33" t="n"/>
      <c r="F9" s="33" t="n"/>
      <c r="G9" s="33" t="n"/>
    </row>
    <row r="10" ht="25" customHeight="1" s="26">
      <c r="A10" s="27" t="inlineStr">
        <is>
          <t>2026-03-13_03-03-32</t>
        </is>
      </c>
      <c r="B10" s="27" t="inlineStr">
        <is>
          <t>1773372411605_1773372431405</t>
        </is>
      </c>
      <c r="C10" s="4" t="n">
        <v>1773372412800</v>
      </c>
      <c r="D10" s="32">
        <f>IMAGE("https://liskibruh.github.io/l4_data_sheets_table_images_mapper/l4_problematic_frames/xl/media/image636.png")</f>
        <v/>
      </c>
      <c r="E10" s="32">
        <f>IMAGE("https://liskibruh.github.io/l4_data_sheets_table_images_mapper/l4_problematic_frames/xl/media/image637.png")</f>
        <v/>
      </c>
      <c r="F10" s="30" t="n"/>
      <c r="G10" s="27" t="inlineStr">
        <is>
          <t>Imcomplete point cloud</t>
        </is>
      </c>
    </row>
    <row r="11" ht="17" customHeight="1" s="26">
      <c r="A11" s="34" t="n"/>
      <c r="B11" s="34" t="n"/>
      <c r="C11" s="10" t="n">
        <v>1773372422600</v>
      </c>
      <c r="D11" s="34" t="n"/>
      <c r="E11" s="34" t="n"/>
      <c r="F11" s="34" t="n"/>
      <c r="G11" s="34" t="n"/>
    </row>
    <row r="12" ht="17" customHeight="1" s="26">
      <c r="A12" s="33" t="n"/>
      <c r="B12" s="33" t="n"/>
      <c r="C12" s="6" t="n"/>
      <c r="D12" s="33" t="n"/>
      <c r="E12" s="33" t="n"/>
      <c r="F12" s="33" t="n"/>
      <c r="G12" s="33" t="n"/>
    </row>
    <row r="13" ht="43" customHeight="1" s="26">
      <c r="A13" s="27" t="inlineStr">
        <is>
          <t>2026-03-13_03-03-32</t>
        </is>
      </c>
      <c r="B13" s="27" t="inlineStr">
        <is>
          <t>1773372411605_1773372431405</t>
        </is>
      </c>
      <c r="C13" s="4" t="n">
        <v>1773372426204</v>
      </c>
      <c r="D13" s="32">
        <f>IMAGE("https://liskibruh.github.io/l4_data_sheets_table_images_mapper/l4_problematic_frames/xl/media/image638.png")</f>
        <v/>
      </c>
      <c r="E13" s="32">
        <f>IMAGE("https://liskibruh.github.io/l4_data_sheets_table_images_mapper/l4_problematic_frames/xl/media/image639.png")</f>
        <v/>
      </c>
      <c r="F13" s="32">
        <f>IMAGE("https://liskibruh.github.io/l4_data_sheets_table_images_mapper/l4_problematic_frames/xl/media/image640.png")</f>
        <v/>
      </c>
      <c r="G13" s="4" t="inlineStr">
        <is>
          <t>Mis-classification?</t>
        </is>
      </c>
    </row>
    <row r="14" ht="57" customHeight="1" s="26">
      <c r="A14" s="34" t="n"/>
      <c r="B14" s="34" t="n"/>
      <c r="C14" s="10" t="n">
        <v>1773372426404</v>
      </c>
      <c r="D14" s="34" t="n"/>
      <c r="E14" s="34" t="n"/>
      <c r="F14" s="34" t="n"/>
      <c r="G14" s="10" t="inlineStr">
        <is>
          <t>Miss annotation of static objects</t>
        </is>
      </c>
    </row>
    <row r="15" ht="17" customHeight="1" s="26">
      <c r="A15" s="34" t="n"/>
      <c r="B15" s="34" t="n"/>
      <c r="C15" s="10" t="n">
        <v>1773372426504</v>
      </c>
      <c r="D15" s="34" t="n"/>
      <c r="E15" s="34" t="n"/>
      <c r="F15" s="34" t="n"/>
      <c r="G15" s="17" t="n"/>
    </row>
    <row r="16" ht="17" customHeight="1" s="26">
      <c r="A16" s="34" t="n"/>
      <c r="B16" s="34" t="n"/>
      <c r="C16" s="10" t="n">
        <v>1773372426604</v>
      </c>
      <c r="D16" s="34" t="n"/>
      <c r="E16" s="34" t="n"/>
      <c r="F16" s="34" t="n"/>
      <c r="G16" s="17" t="n"/>
    </row>
    <row r="17" ht="17" customHeight="1" s="26">
      <c r="A17" s="34" t="n"/>
      <c r="B17" s="34" t="n"/>
      <c r="C17" s="10" t="n">
        <v>1773372426705</v>
      </c>
      <c r="D17" s="34" t="n"/>
      <c r="E17" s="34" t="n"/>
      <c r="F17" s="34" t="n"/>
      <c r="G17" s="17" t="n"/>
    </row>
    <row r="18" ht="17" customHeight="1" s="26">
      <c r="A18" s="34" t="n"/>
      <c r="B18" s="34" t="n"/>
      <c r="C18" s="10" t="n">
        <v>1773372426805</v>
      </c>
      <c r="D18" s="34" t="n"/>
      <c r="E18" s="34" t="n"/>
      <c r="F18" s="34" t="n"/>
      <c r="G18" s="17" t="n"/>
    </row>
    <row r="19" ht="17" customHeight="1" s="26">
      <c r="A19" s="34" t="n"/>
      <c r="B19" s="34" t="n"/>
      <c r="C19" s="10" t="n">
        <v>1773372427004</v>
      </c>
      <c r="D19" s="34" t="n"/>
      <c r="E19" s="34" t="n"/>
      <c r="F19" s="34" t="n"/>
      <c r="G19" s="17" t="n"/>
    </row>
    <row r="20" ht="17" customHeight="1" s="26">
      <c r="A20" s="33" t="n"/>
      <c r="B20" s="33" t="n"/>
      <c r="C20" s="7" t="n">
        <v>1773372431305</v>
      </c>
      <c r="D20" s="33" t="n"/>
      <c r="E20" s="33" t="n"/>
      <c r="F20" s="33" t="n"/>
      <c r="G20" s="25" t="n"/>
    </row>
    <row r="21" ht="41" customHeight="1" s="26">
      <c r="A21" s="27" t="inlineStr">
        <is>
          <t>2026-03-13_03-03-32</t>
        </is>
      </c>
      <c r="B21" s="27" t="inlineStr">
        <is>
          <t>1773372631605_1773372651404</t>
        </is>
      </c>
      <c r="C21" s="4" t="n">
        <v>1773372648205</v>
      </c>
      <c r="D21" s="32">
        <f>IMAGE("https://liskibruh.github.io/l4_data_sheets_table_images_mapper/l4_problematic_frames/xl/media/image641.png")</f>
        <v/>
      </c>
      <c r="E21" s="32">
        <f>IMAGE("https://liskibruh.github.io/l4_data_sheets_table_images_mapper/l4_problematic_frames/xl/media/image642.png")</f>
        <v/>
      </c>
      <c r="F21" s="30" t="n"/>
      <c r="G21" s="27" t="inlineStr">
        <is>
          <t>Miss annotation of vehicle</t>
        </is>
      </c>
    </row>
    <row r="22" ht="17" customHeight="1" s="26">
      <c r="A22" s="33" t="n"/>
      <c r="B22" s="33" t="n"/>
      <c r="C22" s="7" t="n">
        <v>1773372648305</v>
      </c>
      <c r="D22" s="33" t="n"/>
      <c r="E22" s="33" t="n"/>
      <c r="F22" s="33" t="n"/>
      <c r="G22" s="33" t="n"/>
    </row>
    <row r="23" ht="17" customHeight="1" s="26">
      <c r="A23" s="27" t="inlineStr">
        <is>
          <t>2026-03-13_03-03-32</t>
        </is>
      </c>
      <c r="B23" s="27" t="inlineStr">
        <is>
          <t>1773372733005_1773372752804</t>
        </is>
      </c>
      <c r="C23" s="4" t="n">
        <v>1773372750905</v>
      </c>
      <c r="D23" s="32">
        <f>IMAGE("https://liskibruh.github.io/l4_data_sheets_table_images_mapper/l4_problematic_frames/xl/media/image643.png")</f>
        <v/>
      </c>
      <c r="E23" s="32">
        <f>IMAGE("https://liskibruh.github.io/l4_data_sheets_table_images_mapper/l4_problematic_frames/xl/media/image644.png")</f>
        <v/>
      </c>
      <c r="F23" s="32">
        <f>IMAGE("https://liskibruh.github.io/l4_data_sheets_table_images_mapper/l4_problematic_frames/xl/media/image645.png")</f>
        <v/>
      </c>
      <c r="G23" s="27" t="inlineStr">
        <is>
          <t>Miss annotation of truck</t>
        </is>
      </c>
    </row>
    <row r="24" ht="17" customHeight="1" s="26">
      <c r="A24" s="34" t="n"/>
      <c r="B24" s="34" t="n"/>
      <c r="C24" s="10" t="n">
        <v>1773372751504</v>
      </c>
      <c r="D24" s="34" t="n"/>
      <c r="E24" s="34" t="n"/>
      <c r="F24" s="34" t="n"/>
      <c r="G24" s="34" t="n"/>
    </row>
    <row r="25" ht="17" customHeight="1" s="26">
      <c r="A25" s="34" t="n"/>
      <c r="B25" s="34" t="n"/>
      <c r="C25" s="10" t="n">
        <v>1773372751605</v>
      </c>
      <c r="D25" s="34" t="n"/>
      <c r="E25" s="34" t="n"/>
      <c r="F25" s="34" t="n"/>
      <c r="G25" s="34" t="n"/>
    </row>
    <row r="26" ht="17" customHeight="1" s="26">
      <c r="A26" s="34" t="n"/>
      <c r="B26" s="34" t="n"/>
      <c r="C26" s="10" t="n">
        <v>1773372751705</v>
      </c>
      <c r="D26" s="34" t="n"/>
      <c r="E26" s="34" t="n"/>
      <c r="F26" s="34" t="n"/>
      <c r="G26" s="34" t="n"/>
    </row>
    <row r="27" ht="17" customHeight="1" s="26">
      <c r="A27" s="34" t="n"/>
      <c r="B27" s="34" t="n"/>
      <c r="C27" s="10" t="n">
        <v>1773372751805</v>
      </c>
      <c r="D27" s="34" t="n"/>
      <c r="E27" s="34" t="n"/>
      <c r="F27" s="34" t="n"/>
      <c r="G27" s="34" t="n"/>
    </row>
    <row r="28" ht="17" customHeight="1" s="26">
      <c r="A28" s="34" t="n"/>
      <c r="B28" s="34" t="n"/>
      <c r="C28" s="10" t="n">
        <v>1773372751905</v>
      </c>
      <c r="D28" s="34" t="n"/>
      <c r="E28" s="34" t="n"/>
      <c r="F28" s="34" t="n"/>
      <c r="G28" s="34" t="n"/>
    </row>
    <row r="29" ht="17" customHeight="1" s="26">
      <c r="A29" s="33" t="n"/>
      <c r="B29" s="33" t="n"/>
      <c r="C29" s="7" t="n">
        <v>1773372752804</v>
      </c>
      <c r="D29" s="33" t="n"/>
      <c r="E29" s="33" t="n"/>
      <c r="F29" s="33" t="n"/>
      <c r="G29" s="33" t="n"/>
    </row>
    <row r="30" ht="25" customHeight="1" s="26">
      <c r="A30" s="27" t="inlineStr">
        <is>
          <t>2026-03-13_03-03-32</t>
        </is>
      </c>
      <c r="B30" s="27" t="inlineStr">
        <is>
          <t>1773372813904_1773372833704</t>
        </is>
      </c>
      <c r="C30" s="4" t="n">
        <v>1773372831805</v>
      </c>
      <c r="D30" s="32">
        <f>IMAGE("https://liskibruh.github.io/l4_data_sheets_table_images_mapper/l4_problematic_frames/xl/media/image646.png")</f>
        <v/>
      </c>
      <c r="E30" s="32">
        <f>IMAGE("https://liskibruh.github.io/l4_data_sheets_table_images_mapper/l4_problematic_frames/xl/media/image647.png")</f>
        <v/>
      </c>
      <c r="F30" s="30" t="n"/>
      <c r="G30" s="27" t="inlineStr">
        <is>
          <t>Miss annotation of static object</t>
        </is>
      </c>
    </row>
    <row r="31" ht="17" customHeight="1" s="26">
      <c r="A31" s="34" t="n"/>
      <c r="B31" s="34" t="n"/>
      <c r="C31" s="10" t="n">
        <v>1773372832405</v>
      </c>
      <c r="D31" s="34" t="n"/>
      <c r="E31" s="34" t="n"/>
      <c r="F31" s="34" t="n"/>
      <c r="G31" s="34" t="n"/>
    </row>
    <row r="32" ht="17" customHeight="1" s="26">
      <c r="A32" s="33" t="n"/>
      <c r="B32" s="33" t="n"/>
      <c r="C32" s="6" t="n"/>
      <c r="D32" s="33" t="n"/>
      <c r="E32" s="33" t="n"/>
      <c r="F32" s="33" t="n"/>
      <c r="G32" s="33" t="n"/>
    </row>
    <row r="33" ht="17" customHeight="1" s="26">
      <c r="A33" s="27" t="inlineStr">
        <is>
          <t>2026-03-13_03-03-32</t>
        </is>
      </c>
      <c r="B33" s="27" t="inlineStr">
        <is>
          <t>1773372834104_1773372853904</t>
        </is>
      </c>
      <c r="C33" s="4" t="n">
        <v>1773372847304</v>
      </c>
      <c r="D33" s="32">
        <f>IMAGE("https://liskibruh.github.io/l4_data_sheets_table_images_mapper/l4_problematic_frames/xl/media/image648.png")</f>
        <v/>
      </c>
      <c r="E33" s="32">
        <f>IMAGE("https://liskibruh.github.io/l4_data_sheets_table_images_mapper/l4_problematic_frames/xl/media/image649.png")</f>
        <v/>
      </c>
      <c r="F33" s="32">
        <f>IMAGE("https://liskibruh.github.io/l4_data_sheets_table_images_mapper/l4_problematic_frames/xl/media/image650.png")</f>
        <v/>
      </c>
      <c r="G33" s="27" t="inlineStr">
        <is>
          <t>Miss annotation of vehicles</t>
        </is>
      </c>
    </row>
    <row r="34" ht="17" customHeight="1" s="26">
      <c r="A34" s="34" t="n"/>
      <c r="B34" s="34" t="n"/>
      <c r="C34" s="10" t="n">
        <v>1773372847504</v>
      </c>
      <c r="D34" s="34" t="n"/>
      <c r="E34" s="34" t="n"/>
      <c r="F34" s="34" t="n"/>
      <c r="G34" s="34" t="n"/>
    </row>
    <row r="35" ht="17" customHeight="1" s="26">
      <c r="A35" s="34" t="n"/>
      <c r="B35" s="34" t="n"/>
      <c r="C35" s="10" t="n">
        <v>1773372847604</v>
      </c>
      <c r="D35" s="34" t="n"/>
      <c r="E35" s="34" t="n"/>
      <c r="F35" s="34" t="n"/>
      <c r="G35" s="34" t="n"/>
    </row>
    <row r="36" ht="17" customHeight="1" s="26">
      <c r="A36" s="34" t="n"/>
      <c r="B36" s="34" t="n"/>
      <c r="C36" s="10" t="n">
        <v>1773372847705</v>
      </c>
      <c r="D36" s="34" t="n"/>
      <c r="E36" s="34" t="n"/>
      <c r="F36" s="34" t="n"/>
      <c r="G36" s="34" t="n"/>
    </row>
    <row r="37" ht="17" customHeight="1" s="26">
      <c r="A37" s="34" t="n"/>
      <c r="B37" s="34" t="n"/>
      <c r="C37" s="10" t="n">
        <v>1773372847805</v>
      </c>
      <c r="D37" s="34" t="n"/>
      <c r="E37" s="34" t="n"/>
      <c r="F37" s="34" t="n"/>
      <c r="G37" s="34" t="n"/>
    </row>
    <row r="38" ht="17" customHeight="1" s="26">
      <c r="A38" s="34" t="n"/>
      <c r="B38" s="34" t="n"/>
      <c r="C38" s="10" t="n">
        <v>1773372847905</v>
      </c>
      <c r="D38" s="34" t="n"/>
      <c r="E38" s="34" t="n"/>
      <c r="F38" s="34" t="n"/>
      <c r="G38" s="34" t="n"/>
    </row>
    <row r="39" ht="17" customHeight="1" s="26">
      <c r="A39" s="34" t="n"/>
      <c r="B39" s="34" t="n"/>
      <c r="C39" s="10" t="n">
        <v>1773372848004</v>
      </c>
      <c r="D39" s="34" t="n"/>
      <c r="E39" s="34" t="n"/>
      <c r="F39" s="34" t="n"/>
      <c r="G39" s="34" t="n"/>
    </row>
    <row r="40" ht="17" customHeight="1" s="26">
      <c r="A40" s="34" t="n"/>
      <c r="B40" s="34" t="n"/>
      <c r="C40" s="10" t="n">
        <v>1773372848204</v>
      </c>
      <c r="D40" s="34" t="n"/>
      <c r="E40" s="34" t="n"/>
      <c r="F40" s="34" t="n"/>
      <c r="G40" s="34" t="n"/>
    </row>
    <row r="41" ht="17" customHeight="1" s="26">
      <c r="A41" s="34" t="n"/>
      <c r="B41" s="34" t="n"/>
      <c r="C41" s="10" t="n">
        <v>1773372848305</v>
      </c>
      <c r="D41" s="34" t="n"/>
      <c r="E41" s="34" t="n"/>
      <c r="F41" s="34" t="n"/>
      <c r="G41" s="34" t="n"/>
    </row>
    <row r="42" ht="17" customHeight="1" s="26">
      <c r="A42" s="34" t="n"/>
      <c r="B42" s="34" t="n"/>
      <c r="C42" s="10" t="n">
        <v>1773372848405</v>
      </c>
      <c r="D42" s="34" t="n"/>
      <c r="E42" s="34" t="n"/>
      <c r="F42" s="34" t="n"/>
      <c r="G42" s="34" t="n"/>
    </row>
    <row r="43" ht="17" customHeight="1" s="26">
      <c r="A43" s="34" t="n"/>
      <c r="B43" s="34" t="n"/>
      <c r="C43" s="10" t="n">
        <v>1773372848505</v>
      </c>
      <c r="D43" s="34" t="n"/>
      <c r="E43" s="34" t="n"/>
      <c r="F43" s="34" t="n"/>
      <c r="G43" s="34" t="n"/>
    </row>
    <row r="44" ht="17" customHeight="1" s="26">
      <c r="A44" s="33" t="n"/>
      <c r="B44" s="33" t="n"/>
      <c r="C44" s="7" t="n">
        <v>1773372848605</v>
      </c>
      <c r="D44" s="33" t="n"/>
      <c r="E44" s="33" t="n"/>
      <c r="F44" s="33" t="n"/>
      <c r="G44" s="33" t="n"/>
    </row>
    <row r="45" ht="41" customHeight="1" s="26">
      <c r="A45" s="27" t="inlineStr">
        <is>
          <t>2026-03-13_03-03-32</t>
        </is>
      </c>
      <c r="B45" s="27" t="inlineStr">
        <is>
          <t>1773372875604_1773372895404</t>
        </is>
      </c>
      <c r="C45" s="4" t="n">
        <v>1773372878604</v>
      </c>
      <c r="D45" s="32">
        <f>IMAGE("https://liskibruh.github.io/l4_data_sheets_table_images_mapper/l4_problematic_frames/xl/media/image651.png")</f>
        <v/>
      </c>
      <c r="E45" s="32">
        <f>IMAGE("https://liskibruh.github.io/l4_data_sheets_table_images_mapper/l4_problematic_frames/xl/media/image652.png")</f>
        <v/>
      </c>
      <c r="F45" s="30" t="n"/>
      <c r="G45" s="27" t="inlineStr">
        <is>
          <t>Miss annotation of vehicles</t>
        </is>
      </c>
    </row>
    <row r="46" ht="17" customHeight="1" s="26">
      <c r="A46" s="33" t="n"/>
      <c r="B46" s="33" t="n"/>
      <c r="C46" s="7" t="n">
        <v>1773372878904</v>
      </c>
      <c r="D46" s="33" t="n"/>
      <c r="E46" s="33" t="n"/>
      <c r="F46" s="33" t="n"/>
      <c r="G46" s="33" t="n"/>
    </row>
    <row r="47" ht="17" customHeight="1" s="26">
      <c r="A47" s="27" t="inlineStr">
        <is>
          <t>2026-03-13_03-03-32</t>
        </is>
      </c>
      <c r="B47" s="27" t="inlineStr">
        <is>
          <t>1773372875604_1773372895404</t>
        </is>
      </c>
      <c r="C47" s="4" t="n">
        <v>1773372879604</v>
      </c>
      <c r="D47" s="32">
        <f>IMAGE("https://liskibruh.github.io/l4_data_sheets_table_images_mapper/l4_problematic_frames/xl/media/image652.png")</f>
        <v/>
      </c>
      <c r="E47" s="32">
        <f>IMAGE("https://liskibruh.github.io/l4_data_sheets_table_images_mapper/l4_problematic_frames/xl/media/image653.png")</f>
        <v/>
      </c>
      <c r="F47" s="32">
        <f>IMAGE("https://liskibruh.github.io/l4_data_sheets_table_images_mapper/l4_problematic_frames/xl/media/image654.png")</f>
        <v/>
      </c>
      <c r="G47" s="27" t="inlineStr">
        <is>
          <t>Miss or false annotation of vehicles</t>
        </is>
      </c>
    </row>
    <row r="48" ht="17" customHeight="1" s="26">
      <c r="A48" s="34" t="n"/>
      <c r="B48" s="34" t="n"/>
      <c r="C48" s="10" t="n">
        <v>1773372882504</v>
      </c>
      <c r="D48" s="34" t="n"/>
      <c r="E48" s="34" t="n"/>
      <c r="F48" s="34" t="n"/>
      <c r="G48" s="34" t="n"/>
    </row>
    <row r="49" ht="17" customHeight="1" s="26">
      <c r="A49" s="34" t="n"/>
      <c r="B49" s="34" t="n"/>
      <c r="C49" s="10" t="n">
        <v>1773372882504</v>
      </c>
      <c r="D49" s="34" t="n"/>
      <c r="E49" s="34" t="n"/>
      <c r="F49" s="34" t="n"/>
      <c r="G49" s="34" t="n"/>
    </row>
    <row r="50" ht="17" customHeight="1" s="26">
      <c r="A50" s="33" t="n"/>
      <c r="B50" s="33" t="n"/>
      <c r="C50" s="7" t="n">
        <v>1773372882804</v>
      </c>
      <c r="D50" s="33" t="n"/>
      <c r="E50" s="33" t="n"/>
      <c r="F50" s="33" t="n"/>
      <c r="G50" s="33" t="n"/>
    </row>
    <row r="51" ht="41" customHeight="1" s="26">
      <c r="A51" s="27" t="inlineStr">
        <is>
          <t>2026-03-13_03-03-32</t>
        </is>
      </c>
      <c r="B51" s="27" t="inlineStr">
        <is>
          <t>1773372915803_1773372935604</t>
        </is>
      </c>
      <c r="C51" s="4" t="n">
        <v>1773372925305</v>
      </c>
      <c r="D51" s="32">
        <f>IMAGE("https://liskibruh.github.io/l4_data_sheets_table_images_mapper/l4_problematic_frames/xl/media/image655.png")</f>
        <v/>
      </c>
      <c r="E51" s="32">
        <f>IMAGE("https://liskibruh.github.io/l4_data_sheets_table_images_mapper/l4_problematic_frames/xl/media/image656.png")</f>
        <v/>
      </c>
      <c r="F51" s="30" t="n"/>
      <c r="G51" s="27" t="inlineStr">
        <is>
          <t>Miss annotation of vehicles</t>
        </is>
      </c>
    </row>
    <row r="52" ht="17" customHeight="1" s="26">
      <c r="A52" s="33" t="n"/>
      <c r="B52" s="33" t="n"/>
      <c r="C52" s="7" t="n">
        <v>1773372925405</v>
      </c>
      <c r="D52" s="33" t="n"/>
      <c r="E52" s="33" t="n"/>
      <c r="F52" s="33" t="n"/>
      <c r="G52" s="33" t="n"/>
    </row>
    <row r="53" ht="17" customHeight="1" s="26">
      <c r="A53" s="37" t="inlineStr">
        <is>
          <t>2026-03-13_03-03-32</t>
        </is>
      </c>
      <c r="B53" s="37" t="inlineStr">
        <is>
          <t>1773372976505_1773372996104</t>
        </is>
      </c>
      <c r="C53" s="4" t="n">
        <v>1773372982904</v>
      </c>
      <c r="D53" s="38">
        <f>IMAGE("https://liskibruh.github.io/l4_data_sheets_table_images_mapper/l4_problematic_frames/xl/media/image657.png")</f>
        <v/>
      </c>
      <c r="E53" s="38">
        <f>IMAGE("https://liskibruh.github.io/l4_data_sheets_table_images_mapper/l4_problematic_frames/xl/media/image658.png")</f>
        <v/>
      </c>
      <c r="F53" s="38">
        <f>IMAGE("https://liskibruh.github.io/l4_data_sheets_table_images_mapper/l4_problematic_frames/xl/media/image659.png")</f>
        <v/>
      </c>
      <c r="G53" s="37" t="inlineStr">
        <is>
          <t>Miss annotation of vehicles</t>
        </is>
      </c>
    </row>
    <row r="54" ht="17" customHeight="1" s="26">
      <c r="A54" s="34" t="n"/>
      <c r="B54" s="34" t="n"/>
      <c r="C54" s="10" t="n">
        <v>1773372983004</v>
      </c>
      <c r="D54" s="34" t="n"/>
      <c r="E54" s="34" t="n"/>
      <c r="F54" s="34" t="n"/>
      <c r="G54" s="34" t="n"/>
    </row>
    <row r="55" ht="17" customHeight="1" s="26">
      <c r="A55" s="34" t="n"/>
      <c r="B55" s="34" t="n"/>
      <c r="C55" s="10" t="n">
        <v>1773372983204</v>
      </c>
      <c r="D55" s="34" t="n"/>
      <c r="E55" s="34" t="n"/>
      <c r="F55" s="34" t="n"/>
      <c r="G55" s="34" t="n"/>
    </row>
  </sheetData>
  <mergeCells count="78">
    <mergeCell ref="B53:B55"/>
    <mergeCell ref="D53:D55"/>
    <mergeCell ref="E8:E9"/>
    <mergeCell ref="G8:G9"/>
    <mergeCell ref="D5:D7"/>
    <mergeCell ref="A51:A52"/>
    <mergeCell ref="D21:D22"/>
    <mergeCell ref="F23:F29"/>
    <mergeCell ref="B5:B7"/>
    <mergeCell ref="D45:D46"/>
    <mergeCell ref="F45:F46"/>
    <mergeCell ref="D30:D32"/>
    <mergeCell ref="E33:E44"/>
    <mergeCell ref="E13:E20"/>
    <mergeCell ref="D47:D50"/>
    <mergeCell ref="G51:G52"/>
    <mergeCell ref="F47:F50"/>
    <mergeCell ref="G2:G4"/>
    <mergeCell ref="D13:D20"/>
    <mergeCell ref="D8:D9"/>
    <mergeCell ref="D2:D4"/>
    <mergeCell ref="G53:G55"/>
    <mergeCell ref="B10:B12"/>
    <mergeCell ref="E21:E22"/>
    <mergeCell ref="F33:F44"/>
    <mergeCell ref="G21:G22"/>
    <mergeCell ref="E30:E32"/>
    <mergeCell ref="G30:G32"/>
    <mergeCell ref="A45:A46"/>
    <mergeCell ref="B23:B29"/>
    <mergeCell ref="A5:A7"/>
    <mergeCell ref="A21:A22"/>
    <mergeCell ref="A8:A9"/>
    <mergeCell ref="F30:F32"/>
    <mergeCell ref="F5:F7"/>
    <mergeCell ref="B45:B46"/>
    <mergeCell ref="E10:E12"/>
    <mergeCell ref="A33:A44"/>
    <mergeCell ref="E23:E29"/>
    <mergeCell ref="G23:G29"/>
    <mergeCell ref="A13:A20"/>
    <mergeCell ref="A2:A4"/>
    <mergeCell ref="B47:B50"/>
    <mergeCell ref="E51:E52"/>
    <mergeCell ref="B33:B44"/>
    <mergeCell ref="D33:D44"/>
    <mergeCell ref="B8:B9"/>
    <mergeCell ref="G5:G7"/>
    <mergeCell ref="F21:F22"/>
    <mergeCell ref="E53:E55"/>
    <mergeCell ref="F51:F52"/>
    <mergeCell ref="F8:F9"/>
    <mergeCell ref="D10:D12"/>
    <mergeCell ref="D23:D29"/>
    <mergeCell ref="A30:A32"/>
    <mergeCell ref="F53:F55"/>
    <mergeCell ref="B2:B4"/>
    <mergeCell ref="G10:G12"/>
    <mergeCell ref="F13:F20"/>
    <mergeCell ref="E47:E50"/>
    <mergeCell ref="F2:F4"/>
    <mergeCell ref="G47:G50"/>
    <mergeCell ref="G33:G44"/>
    <mergeCell ref="B21:B22"/>
    <mergeCell ref="E2:E4"/>
    <mergeCell ref="B30:B32"/>
    <mergeCell ref="A53:A55"/>
    <mergeCell ref="F10:F12"/>
    <mergeCell ref="A10:A12"/>
    <mergeCell ref="A23:A29"/>
    <mergeCell ref="E45:E46"/>
    <mergeCell ref="G45:G46"/>
    <mergeCell ref="E5:E7"/>
    <mergeCell ref="D1:F1"/>
    <mergeCell ref="B13:B20"/>
    <mergeCell ref="B51:B52"/>
    <mergeCell ref="A47:A50"/>
    <mergeCell ref="D51:D5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250"/>
  <sheetViews>
    <sheetView showGridLines="1" workbookViewId="0">
      <selection activeCell="A1" sqref="A1"/>
    </sheetView>
  </sheetViews>
  <sheetFormatPr baseColWidth="8" defaultColWidth="14" defaultRowHeight="19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17" customHeight="1" s="26">
      <c r="A1" s="21" t="inlineStr">
        <is>
          <t>Sequence</t>
        </is>
      </c>
      <c r="B1" s="21" t="inlineStr">
        <is>
          <t>Clip</t>
        </is>
      </c>
      <c r="C1" s="21" t="inlineStr">
        <is>
          <t>Frame ID</t>
        </is>
      </c>
      <c r="D1" s="36" t="inlineStr">
        <is>
          <t>Visualizations</t>
        </is>
      </c>
      <c r="E1" s="28" t="n"/>
      <c r="F1" s="29" t="n"/>
      <c r="G1" s="21" t="inlineStr">
        <is>
          <t>Problem</t>
        </is>
      </c>
    </row>
    <row r="2" ht="41" customHeight="1" s="26">
      <c r="A2" s="27" t="inlineStr">
        <is>
          <t>18_2026-03-12_05-37-56</t>
        </is>
      </c>
      <c r="B2" s="27" t="inlineStr">
        <is>
          <t>1773293878203_1773293898003</t>
        </is>
      </c>
      <c r="C2" s="27" t="inlineStr">
        <is>
          <t>1773293878403 - 1773293886103</t>
        </is>
      </c>
      <c r="D2" s="32">
        <f>IMAGE("https://liskibruh.github.io/l4_data_sheets_table_images_mapper/l4_problematic_frames/xl/media/image660.png")</f>
        <v/>
      </c>
      <c r="E2" s="32">
        <f>IMAGE("https://liskibruh.github.io/l4_data_sheets_table_images_mapper/l4_problematic_frames/xl/media/image661.png")</f>
        <v/>
      </c>
      <c r="F2" s="30" t="n"/>
      <c r="G2" s="27" t="inlineStr">
        <is>
          <t>Misoriented Direction of car</t>
        </is>
      </c>
    </row>
    <row r="3" ht="17" customHeight="1" s="26">
      <c r="A3" s="33" t="n"/>
      <c r="B3" s="33" t="n"/>
      <c r="C3" s="33" t="n"/>
      <c r="D3" s="33" t="n"/>
      <c r="E3" s="33" t="n"/>
      <c r="F3" s="33" t="n"/>
      <c r="G3" s="33" t="n"/>
    </row>
    <row r="4" ht="41" customHeight="1" s="26">
      <c r="A4" s="27" t="inlineStr">
        <is>
          <t>18_2026-03-12_05-37-56</t>
        </is>
      </c>
      <c r="B4" s="27" t="inlineStr">
        <is>
          <t>1773293878203_1773293898003</t>
        </is>
      </c>
      <c r="C4" s="27" t="inlineStr">
        <is>
          <t>1773293886603 - 1773293895803</t>
        </is>
      </c>
      <c r="D4" s="32">
        <f>IMAGE("https://liskibruh.github.io/l4_data_sheets_table_images_mapper/l4_problematic_frames/xl/media/image662.png")</f>
        <v/>
      </c>
      <c r="E4" s="32">
        <f>IMAGE("https://liskibruh.github.io/l4_data_sheets_table_images_mapper/l4_problematic_frames/xl/media/image661.png")</f>
        <v/>
      </c>
      <c r="F4" s="30" t="n"/>
      <c r="G4" s="27" t="inlineStr">
        <is>
          <t>Car Misclassified as Truck</t>
        </is>
      </c>
    </row>
    <row r="5" ht="17" customHeight="1" s="26">
      <c r="A5" s="33" t="n"/>
      <c r="B5" s="33" t="n"/>
      <c r="C5" s="33" t="n"/>
      <c r="D5" s="33" t="n"/>
      <c r="E5" s="33" t="n"/>
      <c r="F5" s="33" t="n"/>
      <c r="G5" s="33" t="n"/>
    </row>
    <row r="6" ht="41" customHeight="1" s="26">
      <c r="A6" s="27" t="inlineStr">
        <is>
          <t>18_2026-03-12_05-37-56</t>
        </is>
      </c>
      <c r="B6" s="27" t="inlineStr">
        <is>
          <t>1773293878203_1773293898003</t>
        </is>
      </c>
      <c r="C6" s="27" t="inlineStr">
        <is>
          <t>1773293896003 - 1773293898303</t>
        </is>
      </c>
      <c r="D6" s="32">
        <f>IMAGE("https://liskibruh.github.io/l4_data_sheets_table_images_mapper/l4_problematic_frames/xl/media/image661.png")</f>
        <v/>
      </c>
      <c r="E6" s="32">
        <f>IMAGE("https://liskibruh.github.io/l4_data_sheets_table_images_mapper/l4_problematic_frames/xl/media/image663.png")</f>
        <v/>
      </c>
      <c r="F6" s="30" t="n"/>
      <c r="G6" s="27" t="inlineStr">
        <is>
          <t>False Positive Car</t>
        </is>
      </c>
    </row>
    <row r="7" ht="17" customHeight="1" s="26">
      <c r="A7" s="33" t="n"/>
      <c r="B7" s="33" t="n"/>
      <c r="C7" s="33" t="n"/>
      <c r="D7" s="33" t="n"/>
      <c r="E7" s="33" t="n"/>
      <c r="F7" s="33" t="n"/>
      <c r="G7" s="33" t="n"/>
    </row>
    <row r="8" ht="41" customHeight="1" s="26">
      <c r="A8" s="27" t="inlineStr">
        <is>
          <t>18_2026-03-12_05-37-56</t>
        </is>
      </c>
      <c r="B8" s="27" t="inlineStr">
        <is>
          <t>1773293898303_1773293918104</t>
        </is>
      </c>
      <c r="C8" s="27" t="inlineStr">
        <is>
          <t>1773293906403 - 1773293914403</t>
        </is>
      </c>
      <c r="D8" s="32">
        <f>IMAGE("https://liskibruh.github.io/l4_data_sheets_table_images_mapper/l4_problematic_frames/xl/media/image664.png")</f>
        <v/>
      </c>
      <c r="E8" s="32">
        <f>IMAGE("https://liskibruh.github.io/l4_data_sheets_table_images_mapper/l4_problematic_frames/xl/media/image665.png")</f>
        <v/>
      </c>
      <c r="F8" s="30" t="n"/>
      <c r="G8" s="27" t="inlineStr">
        <is>
          <t>Car Misclassified as Truck</t>
        </is>
      </c>
    </row>
    <row r="9" ht="17" customHeight="1" s="26">
      <c r="A9" s="33" t="n"/>
      <c r="B9" s="33" t="n"/>
      <c r="C9" s="33" t="n"/>
      <c r="D9" s="33" t="n"/>
      <c r="E9" s="33" t="n"/>
      <c r="F9" s="33" t="n"/>
      <c r="G9" s="33" t="n"/>
    </row>
    <row r="10" ht="41" customHeight="1" s="26">
      <c r="A10" s="27" t="inlineStr">
        <is>
          <t>18_2026-03-12_05-37-56</t>
        </is>
      </c>
      <c r="B10" s="27" t="inlineStr">
        <is>
          <t>1773293918304_1773293938205</t>
        </is>
      </c>
      <c r="C10" s="27" t="inlineStr">
        <is>
          <t>1773293919304 - 1773293928504</t>
        </is>
      </c>
      <c r="D10" s="32">
        <f>IMAGE("https://liskibruh.github.io/l4_data_sheets_table_images_mapper/l4_problematic_frames/xl/media/image666.png")</f>
        <v/>
      </c>
      <c r="E10" s="32">
        <f>IMAGE("https://liskibruh.github.io/l4_data_sheets_table_images_mapper/l4_problematic_frames/xl/media/image667.png")</f>
        <v/>
      </c>
      <c r="F10" s="30" t="n"/>
      <c r="G10" s="27" t="inlineStr">
        <is>
          <t>Car Misclassified as Truck</t>
        </is>
      </c>
    </row>
    <row r="11" ht="17" customHeight="1" s="26">
      <c r="A11" s="33" t="n"/>
      <c r="B11" s="33" t="n"/>
      <c r="C11" s="33" t="n"/>
      <c r="D11" s="33" t="n"/>
      <c r="E11" s="33" t="n"/>
      <c r="F11" s="33" t="n"/>
      <c r="G11" s="33" t="n"/>
    </row>
    <row r="12" ht="41" customHeight="1" s="26">
      <c r="A12" s="27" t="inlineStr">
        <is>
          <t>18_2026-03-12_05-37-56</t>
        </is>
      </c>
      <c r="B12" s="27" t="inlineStr">
        <is>
          <t>1773293918304_1773293938205</t>
        </is>
      </c>
      <c r="C12" s="27" t="inlineStr">
        <is>
          <t>1773293929604 - 1773293930604</t>
        </is>
      </c>
      <c r="D12" s="32">
        <f>IMAGE("https://liskibruh.github.io/l4_data_sheets_table_images_mapper/l4_problematic_frames/xl/media/image668.png")</f>
        <v/>
      </c>
      <c r="E12" s="32">
        <f>IMAGE("https://liskibruh.github.io/l4_data_sheets_table_images_mapper/l4_problematic_frames/xl/media/image669.png")</f>
        <v/>
      </c>
      <c r="F12" s="30" t="n"/>
      <c r="G12" s="27" t="inlineStr">
        <is>
          <t>Misoriented Direction of Car</t>
        </is>
      </c>
    </row>
    <row r="13" ht="17" customHeight="1" s="26">
      <c r="A13" s="33" t="n"/>
      <c r="B13" s="33" t="n"/>
      <c r="C13" s="33" t="n"/>
      <c r="D13" s="33" t="n"/>
      <c r="E13" s="33" t="n"/>
      <c r="F13" s="33" t="n"/>
      <c r="G13" s="33" t="n"/>
    </row>
    <row r="14" ht="98" customHeight="1" s="26">
      <c r="A14" s="27" t="inlineStr">
        <is>
          <t>18_2026-03-12_05-37-56</t>
        </is>
      </c>
      <c r="B14" s="27" t="inlineStr">
        <is>
          <t>1773293918304_1773293938205</t>
        </is>
      </c>
      <c r="C14" s="27" t="inlineStr">
        <is>
          <t>1773293930704 - 1773293931404, 1773293932504 - 1773293934104</t>
        </is>
      </c>
      <c r="D14" s="32">
        <f>IMAGE("https://liskibruh.github.io/l4_data_sheets_table_images_mapper/l4_problematic_frames/xl/media/image670.png")</f>
        <v/>
      </c>
      <c r="E14" s="32">
        <f>IMAGE("https://liskibruh.github.io/l4_data_sheets_table_images_mapper/l4_problematic_frames/xl/media/image671.png")</f>
        <v/>
      </c>
      <c r="F14" s="30" t="n"/>
      <c r="G14" s="27" t="inlineStr">
        <is>
          <t>False Positive Trucks</t>
        </is>
      </c>
    </row>
    <row r="15" ht="17" customHeight="1" s="26">
      <c r="A15" s="33" t="n"/>
      <c r="B15" s="33" t="n"/>
      <c r="C15" s="33" t="n"/>
      <c r="D15" s="33" t="n"/>
      <c r="E15" s="33" t="n"/>
      <c r="F15" s="33" t="n"/>
      <c r="G15" s="33" t="n"/>
    </row>
    <row r="16" ht="69" customHeight="1" s="26">
      <c r="A16" s="27" t="inlineStr">
        <is>
          <t>18_2026-03-12_05-37-56</t>
        </is>
      </c>
      <c r="B16" s="27" t="inlineStr">
        <is>
          <t>1773293918304_1773293938205</t>
        </is>
      </c>
      <c r="C16" s="27" t="inlineStr">
        <is>
          <t>1773293934104 - 1773293936305</t>
        </is>
      </c>
      <c r="D16" s="32">
        <f>IMAGE("https://liskibruh.github.io/l4_data_sheets_table_images_mapper/l4_problematic_frames/xl/media/image672.png")</f>
        <v/>
      </c>
      <c r="E16" s="32">
        <f>IMAGE("https://liskibruh.github.io/l4_data_sheets_table_images_mapper/l4_problematic_frames/xl/media/image673.png")</f>
        <v/>
      </c>
      <c r="F16" s="30" t="n"/>
      <c r="G16" s="27" t="inlineStr">
        <is>
          <t>Misoriented Direction of Car + Car Misclassified as Truck</t>
        </is>
      </c>
    </row>
    <row r="17" ht="17" customHeight="1" s="26">
      <c r="A17" s="33" t="n"/>
      <c r="B17" s="33" t="n"/>
      <c r="C17" s="33" t="n"/>
      <c r="D17" s="33" t="n"/>
      <c r="E17" s="33" t="n"/>
      <c r="F17" s="33" t="n"/>
      <c r="G17" s="33" t="n"/>
    </row>
    <row r="18" ht="84" customHeight="1" s="26">
      <c r="A18" s="27" t="inlineStr">
        <is>
          <t>18_2026-03-12_05-37-56</t>
        </is>
      </c>
      <c r="B18" s="27" t="inlineStr">
        <is>
          <t>1773293938405_1773293958304</t>
        </is>
      </c>
      <c r="C18" s="27" t="inlineStr">
        <is>
          <t>1773293938405 - 1773293940603</t>
        </is>
      </c>
      <c r="D18" s="32">
        <f>IMAGE("https://liskibruh.github.io/l4_data_sheets_table_images_mapper/l4_problematic_frames/xl/media/image674.png")</f>
        <v/>
      </c>
      <c r="E18" s="32">
        <f>IMAGE("https://liskibruh.github.io/l4_data_sheets_table_images_mapper/l4_problematic_frames/xl/media/image675.png")</f>
        <v/>
      </c>
      <c r="F18" s="30" t="n"/>
      <c r="G18" s="27" t="inlineStr">
        <is>
          <t>Misclassification of Car as Truck + Misoriented Direction of Car</t>
        </is>
      </c>
    </row>
    <row r="19" ht="17" customHeight="1" s="26">
      <c r="A19" s="33" t="n"/>
      <c r="B19" s="33" t="n"/>
      <c r="C19" s="33" t="n"/>
      <c r="D19" s="33" t="n"/>
      <c r="E19" s="33" t="n"/>
      <c r="F19" s="33" t="n"/>
      <c r="G19" s="33" t="n"/>
    </row>
    <row r="20" ht="84" customHeight="1" s="26">
      <c r="A20" s="27" t="inlineStr">
        <is>
          <t>18_2026-03-12_05-37-56</t>
        </is>
      </c>
      <c r="B20" s="27" t="inlineStr">
        <is>
          <t>1773293938405_1773293958304</t>
        </is>
      </c>
      <c r="C20" s="27" t="inlineStr">
        <is>
          <t>1773293941504 - 1773293945004</t>
        </is>
      </c>
      <c r="D20" s="32">
        <f>IMAGE("https://liskibruh.github.io/l4_data_sheets_table_images_mapper/l4_problematic_frames/xl/media/image676.png")</f>
        <v/>
      </c>
      <c r="E20" s="32">
        <f>IMAGE("https://liskibruh.github.io/l4_data_sheets_table_images_mapper/l4_problematic_frames/xl/media/image677.png")</f>
        <v/>
      </c>
      <c r="F20" s="30" t="n"/>
      <c r="G20" s="27" t="inlineStr">
        <is>
          <t>Misclassification of Truck as Car + Misoriented Direction of Truck</t>
        </is>
      </c>
    </row>
    <row r="21" ht="17" customHeight="1" s="26">
      <c r="A21" s="33" t="n"/>
      <c r="B21" s="33" t="n"/>
      <c r="C21" s="33" t="n"/>
      <c r="D21" s="33" t="n"/>
      <c r="E21" s="33" t="n"/>
      <c r="F21" s="33" t="n"/>
      <c r="G21" s="33" t="n"/>
    </row>
    <row r="22" ht="41" customHeight="1" s="26">
      <c r="A22" s="27" t="inlineStr">
        <is>
          <t>18_2026-03-12_05-37-56</t>
        </is>
      </c>
      <c r="B22" s="27" t="inlineStr">
        <is>
          <t>1773293938405_1773293958304</t>
        </is>
      </c>
      <c r="C22" s="27" t="inlineStr">
        <is>
          <t>1773293945104 - 1773293947705</t>
        </is>
      </c>
      <c r="D22" s="32">
        <f>IMAGE("https://liskibruh.github.io/l4_data_sheets_table_images_mapper/l4_problematic_frames/xl/media/image678.png")</f>
        <v/>
      </c>
      <c r="E22" s="32">
        <f>IMAGE("https://liskibruh.github.io/l4_data_sheets_table_images_mapper/l4_problematic_frames/xl/media/image679.png")</f>
        <v/>
      </c>
      <c r="F22" s="30" t="n"/>
      <c r="G22" s="27" t="inlineStr">
        <is>
          <t>Misclassification of Car as Truck</t>
        </is>
      </c>
    </row>
    <row r="23" ht="17" customHeight="1" s="26">
      <c r="A23" s="33" t="n"/>
      <c r="B23" s="33" t="n"/>
      <c r="C23" s="33" t="n"/>
      <c r="D23" s="33" t="n"/>
      <c r="E23" s="33" t="n"/>
      <c r="F23" s="33" t="n"/>
      <c r="G23" s="33" t="n"/>
    </row>
    <row r="24" ht="41" customHeight="1" s="26">
      <c r="A24" s="27" t="inlineStr">
        <is>
          <t>18_2026-03-12_05-37-56</t>
        </is>
      </c>
      <c r="B24" s="27" t="inlineStr">
        <is>
          <t>1773293938405_1773293958304</t>
        </is>
      </c>
      <c r="C24" s="27" t="inlineStr">
        <is>
          <t>1773293948805 - 1773293949704</t>
        </is>
      </c>
      <c r="D24" s="32">
        <f>IMAGE("https://liskibruh.github.io/l4_data_sheets_table_images_mapper/l4_problematic_frames/xl/media/image680.png")</f>
        <v/>
      </c>
      <c r="E24" s="32">
        <f>IMAGE("https://liskibruh.github.io/l4_data_sheets_table_images_mapper/l4_problematic_frames/xl/media/image681.png")</f>
        <v/>
      </c>
      <c r="F24" s="30" t="n"/>
      <c r="G24" s="27" t="inlineStr">
        <is>
          <t>Misoriented Direction of Car</t>
        </is>
      </c>
    </row>
    <row r="25" ht="17" customHeight="1" s="26">
      <c r="A25" s="33" t="n"/>
      <c r="B25" s="33" t="n"/>
      <c r="C25" s="33" t="n"/>
      <c r="D25" s="33" t="n"/>
      <c r="E25" s="33" t="n"/>
      <c r="F25" s="33" t="n"/>
      <c r="G25" s="33" t="n"/>
    </row>
    <row r="26" ht="41" customHeight="1" s="26">
      <c r="A26" s="27" t="inlineStr">
        <is>
          <t>18_2026-03-12_05-37-56</t>
        </is>
      </c>
      <c r="B26" s="27" t="inlineStr">
        <is>
          <t>1773293938405_1773293958304</t>
        </is>
      </c>
      <c r="C26" s="27" t="inlineStr">
        <is>
          <t>1773293951105 - 1773293952105</t>
        </is>
      </c>
      <c r="D26" s="32">
        <f>IMAGE("https://liskibruh.github.io/l4_data_sheets_table_images_mapper/l4_problematic_frames/xl/media/image682.png")</f>
        <v/>
      </c>
      <c r="E26" s="32">
        <f>IMAGE("https://liskibruh.github.io/l4_data_sheets_table_images_mapper/l4_problematic_frames/xl/media/image683.png")</f>
        <v/>
      </c>
      <c r="F26" s="30" t="n"/>
      <c r="G26" s="27" t="inlineStr">
        <is>
          <t>Misclassification of Car as Truck</t>
        </is>
      </c>
    </row>
    <row r="27" ht="17" customHeight="1" s="26">
      <c r="A27" s="33" t="n"/>
      <c r="B27" s="33" t="n"/>
      <c r="C27" s="33" t="n"/>
      <c r="D27" s="33" t="n"/>
      <c r="E27" s="33" t="n"/>
      <c r="F27" s="33" t="n"/>
      <c r="G27" s="33" t="n"/>
    </row>
    <row r="28" ht="98" customHeight="1" s="26">
      <c r="A28" s="27" t="inlineStr">
        <is>
          <t>18_2026-03-12_05-37-56</t>
        </is>
      </c>
      <c r="B28" s="27" t="inlineStr">
        <is>
          <t>1773293938405_1773293958304</t>
        </is>
      </c>
      <c r="C28" s="27" t="inlineStr">
        <is>
          <t>1773293952204 - 1773293953304, 1773293954504 - 1773293955704</t>
        </is>
      </c>
      <c r="D28" s="32">
        <f>IMAGE("https://liskibruh.github.io/l4_data_sheets_table_images_mapper/l4_problematic_frames/xl/media/image684.png")</f>
        <v/>
      </c>
      <c r="E28" s="32">
        <f>IMAGE("https://liskibruh.github.io/l4_data_sheets_table_images_mapper/l4_problematic_frames/xl/media/image685.png")</f>
        <v/>
      </c>
      <c r="F28" s="30" t="n"/>
      <c r="G28" s="27" t="inlineStr">
        <is>
          <t>Missing Static Objects</t>
        </is>
      </c>
    </row>
    <row r="29" ht="17" customHeight="1" s="26">
      <c r="A29" s="33" t="n"/>
      <c r="B29" s="33" t="n"/>
      <c r="C29" s="33" t="n"/>
      <c r="D29" s="33" t="n"/>
      <c r="E29" s="33" t="n"/>
      <c r="F29" s="33" t="n"/>
      <c r="G29" s="33" t="n"/>
    </row>
    <row r="30" ht="41" customHeight="1" s="26">
      <c r="A30" s="27" t="inlineStr">
        <is>
          <t>18_2026-03-12_05-37-56</t>
        </is>
      </c>
      <c r="B30" s="27" t="inlineStr">
        <is>
          <t>1773293938405_1773293958304</t>
        </is>
      </c>
      <c r="C30" s="27" t="inlineStr">
        <is>
          <t>1773293957004 - 1773293958304</t>
        </is>
      </c>
      <c r="D30" s="32">
        <f>IMAGE("https://liskibruh.github.io/l4_data_sheets_table_images_mapper/l4_problematic_frames/xl/media/image686.png")</f>
        <v/>
      </c>
      <c r="E30" s="32">
        <f>IMAGE("https://liskibruh.github.io/l4_data_sheets_table_images_mapper/l4_problematic_frames/xl/media/image687.png")</f>
        <v/>
      </c>
      <c r="F30" s="30" t="n"/>
      <c r="G30" s="27" t="inlineStr">
        <is>
          <t>Misoriented Driection of Car</t>
        </is>
      </c>
    </row>
    <row r="31" ht="17" customHeight="1" s="26">
      <c r="A31" s="33" t="n"/>
      <c r="B31" s="33" t="n"/>
      <c r="C31" s="33" t="n"/>
      <c r="D31" s="33" t="n"/>
      <c r="E31" s="33" t="n"/>
      <c r="F31" s="33" t="n"/>
      <c r="G31" s="33" t="n"/>
    </row>
    <row r="32" ht="41" customHeight="1" s="26">
      <c r="A32" s="27" t="inlineStr">
        <is>
          <t>18_2026-03-12_05-37-56</t>
        </is>
      </c>
      <c r="B32" s="27" t="inlineStr">
        <is>
          <t>1773293958405_1773293978404</t>
        </is>
      </c>
      <c r="C32" s="27" t="inlineStr">
        <is>
          <t>1773293959505 - 1773293960405</t>
        </is>
      </c>
      <c r="D32" s="32">
        <f>IMAGE("https://liskibruh.github.io/l4_data_sheets_table_images_mapper/l4_problematic_frames/xl/media/image688.png")</f>
        <v/>
      </c>
      <c r="E32" s="32">
        <f>IMAGE("https://liskibruh.github.io/l4_data_sheets_table_images_mapper/l4_problematic_frames/xl/media/image689.png")</f>
        <v/>
      </c>
      <c r="F32" s="30" t="n"/>
      <c r="G32" s="27" t="inlineStr">
        <is>
          <t>Misclassification of Truck as Car</t>
        </is>
      </c>
    </row>
    <row r="33" ht="17" customHeight="1" s="26">
      <c r="A33" s="33" t="n"/>
      <c r="B33" s="33" t="n"/>
      <c r="C33" s="33" t="n"/>
      <c r="D33" s="33" t="n"/>
      <c r="E33" s="33" t="n"/>
      <c r="F33" s="33" t="n"/>
      <c r="G33" s="33" t="n"/>
    </row>
    <row r="34" ht="41" customHeight="1" s="26">
      <c r="A34" s="27" t="inlineStr">
        <is>
          <t>18_2026-03-12_05-37-56</t>
        </is>
      </c>
      <c r="B34" s="27" t="inlineStr">
        <is>
          <t>1773293958405_1773293978404</t>
        </is>
      </c>
      <c r="C34" s="27" t="inlineStr">
        <is>
          <t>1773293962604 - 1773293963804</t>
        </is>
      </c>
      <c r="D34" s="32">
        <f>IMAGE("https://liskibruh.github.io/l4_data_sheets_table_images_mapper/l4_problematic_frames/xl/media/image690.png")</f>
        <v/>
      </c>
      <c r="E34" s="32">
        <f>IMAGE("https://liskibruh.github.io/l4_data_sheets_table_images_mapper/l4_problematic_frames/xl/media/image691.png")</f>
        <v/>
      </c>
      <c r="F34" s="30" t="n"/>
      <c r="G34" s="27" t="inlineStr">
        <is>
          <t>False Positive Truck</t>
        </is>
      </c>
    </row>
    <row r="35" ht="17" customHeight="1" s="26">
      <c r="A35" s="33" t="n"/>
      <c r="B35" s="33" t="n"/>
      <c r="C35" s="33" t="n"/>
      <c r="D35" s="33" t="n"/>
      <c r="E35" s="33" t="n"/>
      <c r="F35" s="33" t="n"/>
      <c r="G35" s="33" t="n"/>
    </row>
    <row r="36" ht="41" customHeight="1" s="26">
      <c r="A36" s="27" t="inlineStr">
        <is>
          <t>18_2026-03-12_05-37-56</t>
        </is>
      </c>
      <c r="B36" s="27" t="inlineStr">
        <is>
          <t>1773293958405_1773293978404</t>
        </is>
      </c>
      <c r="C36" s="27" t="inlineStr">
        <is>
          <t>1773293969104 - 1773293970104</t>
        </is>
      </c>
      <c r="D36" s="32">
        <f>IMAGE("https://liskibruh.github.io/l4_data_sheets_table_images_mapper/l4_problematic_frames/xl/media/image692.png")</f>
        <v/>
      </c>
      <c r="E36" s="32">
        <f>IMAGE("https://liskibruh.github.io/l4_data_sheets_table_images_mapper/l4_problematic_frames/xl/media/image693.png")</f>
        <v/>
      </c>
      <c r="F36" s="30" t="n"/>
      <c r="G36" s="27" t="inlineStr">
        <is>
          <t>Missing Static Objects</t>
        </is>
      </c>
    </row>
    <row r="37" ht="17" customHeight="1" s="26">
      <c r="A37" s="33" t="n"/>
      <c r="B37" s="33" t="n"/>
      <c r="C37" s="33" t="n"/>
      <c r="D37" s="33" t="n"/>
      <c r="E37" s="33" t="n"/>
      <c r="F37" s="33" t="n"/>
      <c r="G37" s="33" t="n"/>
    </row>
    <row r="38" ht="41" customHeight="1" s="26">
      <c r="A38" s="27" t="inlineStr">
        <is>
          <t>18_2026-03-12_05-37-56</t>
        </is>
      </c>
      <c r="B38" s="27" t="inlineStr">
        <is>
          <t>1773293958405_1773293978404</t>
        </is>
      </c>
      <c r="C38" s="27" t="inlineStr">
        <is>
          <t>1773293970205 - 1773293972205</t>
        </is>
      </c>
      <c r="D38" s="32">
        <f>IMAGE("https://liskibruh.github.io/l4_data_sheets_table_images_mapper/l4_problematic_frames/xl/media/image694.png")</f>
        <v/>
      </c>
      <c r="E38" s="32">
        <f>IMAGE("https://liskibruh.github.io/l4_data_sheets_table_images_mapper/l4_problematic_frames/xl/media/image695.png")</f>
        <v/>
      </c>
      <c r="F38" s="30" t="n"/>
      <c r="G38" s="27" t="inlineStr">
        <is>
          <t>Misclassification of Truck as Car</t>
        </is>
      </c>
    </row>
    <row r="39" ht="17" customHeight="1" s="26">
      <c r="A39" s="33" t="n"/>
      <c r="B39" s="33" t="n"/>
      <c r="C39" s="33" t="n"/>
      <c r="D39" s="33" t="n"/>
      <c r="E39" s="33" t="n"/>
      <c r="F39" s="33" t="n"/>
      <c r="G39" s="33" t="n"/>
    </row>
    <row r="40" ht="84" customHeight="1" s="26">
      <c r="A40" s="27" t="inlineStr">
        <is>
          <t>18_2026-03-12_05-37-56</t>
        </is>
      </c>
      <c r="B40" s="27" t="inlineStr">
        <is>
          <t>1773293958405_1773293978404</t>
        </is>
      </c>
      <c r="C40" s="27" t="inlineStr">
        <is>
          <t>1773293972305 - 1773293979504</t>
        </is>
      </c>
      <c r="D40" s="32">
        <f>IMAGE("https://liskibruh.github.io/l4_data_sheets_table_images_mapper/l4_problematic_frames/xl/media/image696.png")</f>
        <v/>
      </c>
      <c r="E40" s="32">
        <f>IMAGE("https://liskibruh.github.io/l4_data_sheets_table_images_mapper/l4_problematic_frames/xl/media/image697.png")</f>
        <v/>
      </c>
      <c r="F40" s="30" t="n"/>
      <c r="G40" s="27" t="inlineStr">
        <is>
          <t>Misoriented Direction of Truck + Misclassification of Truck as Car</t>
        </is>
      </c>
    </row>
    <row r="41" ht="17" customHeight="1" s="26">
      <c r="A41" s="33" t="n"/>
      <c r="B41" s="33" t="n"/>
      <c r="C41" s="33" t="n"/>
      <c r="D41" s="33" t="n"/>
      <c r="E41" s="33" t="n"/>
      <c r="F41" s="33" t="n"/>
      <c r="G41" s="33" t="n"/>
    </row>
    <row r="42" ht="41" customHeight="1" s="26">
      <c r="A42" s="27" t="inlineStr">
        <is>
          <t>18_2026-03-12_05-37-56</t>
        </is>
      </c>
      <c r="B42" s="27" t="inlineStr">
        <is>
          <t>1773293978604_1773293998504</t>
        </is>
      </c>
      <c r="C42" s="27" t="inlineStr">
        <is>
          <t>1773293980705 - 1773293983405</t>
        </is>
      </c>
      <c r="D42" s="32">
        <f>IMAGE("https://liskibruh.github.io/l4_data_sheets_table_images_mapper/l4_problematic_frames/xl/media/image698.png")</f>
        <v/>
      </c>
      <c r="E42" s="32">
        <f>IMAGE("https://liskibruh.github.io/l4_data_sheets_table_images_mapper/l4_problematic_frames/xl/media/image699.png")</f>
        <v/>
      </c>
      <c r="F42" s="30" t="n"/>
      <c r="G42" s="27" t="inlineStr">
        <is>
          <t>Misclassification of Truck as Car</t>
        </is>
      </c>
    </row>
    <row r="43" ht="17" customHeight="1" s="26">
      <c r="A43" s="33" t="n"/>
      <c r="B43" s="33" t="n"/>
      <c r="C43" s="33" t="n"/>
      <c r="D43" s="33" t="n"/>
      <c r="E43" s="33" t="n"/>
      <c r="F43" s="33" t="n"/>
      <c r="G43" s="33" t="n"/>
    </row>
    <row r="44" ht="69" customHeight="1" s="26">
      <c r="A44" s="27" t="inlineStr">
        <is>
          <t>18_2026-03-12_05-37-56</t>
        </is>
      </c>
      <c r="B44" s="27" t="inlineStr">
        <is>
          <t>1773293978604_1773293998504</t>
        </is>
      </c>
      <c r="C44" s="27" t="inlineStr">
        <is>
          <t>1773293989304 - 1773293990104</t>
        </is>
      </c>
      <c r="D44" s="32">
        <f>IMAGE("https://liskibruh.github.io/l4_data_sheets_table_images_mapper/l4_problematic_frames/xl/media/image700.png")</f>
        <v/>
      </c>
      <c r="E44" s="32">
        <f>IMAGE("https://liskibruh.github.io/l4_data_sheets_table_images_mapper/l4_problematic_frames/xl/media/image701.png")</f>
        <v/>
      </c>
      <c r="F44" s="30" t="n"/>
      <c r="G44" s="27" t="inlineStr">
        <is>
          <t>False Positive Pedestrians and Static Objects</t>
        </is>
      </c>
    </row>
    <row r="45" ht="17" customHeight="1" s="26">
      <c r="A45" s="33" t="n"/>
      <c r="B45" s="33" t="n"/>
      <c r="C45" s="33" t="n"/>
      <c r="D45" s="33" t="n"/>
      <c r="E45" s="33" t="n"/>
      <c r="F45" s="33" t="n"/>
      <c r="G45" s="33" t="n"/>
    </row>
    <row r="46" ht="41" customHeight="1" s="26">
      <c r="A46" s="27" t="inlineStr">
        <is>
          <t>18_2026-03-12_05-37-56</t>
        </is>
      </c>
      <c r="B46" s="27" t="inlineStr">
        <is>
          <t>1773293978604_1773293998504</t>
        </is>
      </c>
      <c r="C46" s="27" t="inlineStr">
        <is>
          <t>1773293993305 - 1773293994205</t>
        </is>
      </c>
      <c r="D46" s="32">
        <f>IMAGE("https://liskibruh.github.io/l4_data_sheets_table_images_mapper/l4_problematic_frames/xl/media/image702.png")</f>
        <v/>
      </c>
      <c r="E46" s="32">
        <f>IMAGE("https://liskibruh.github.io/l4_data_sheets_table_images_mapper/l4_problematic_frames/xl/media/image703.png")</f>
        <v/>
      </c>
      <c r="F46" s="30" t="n"/>
      <c r="G46" s="27" t="inlineStr">
        <is>
          <t>False Positive Pedestrian</t>
        </is>
      </c>
    </row>
    <row r="47" ht="17" customHeight="1" s="26">
      <c r="A47" s="33" t="n"/>
      <c r="B47" s="33" t="n"/>
      <c r="C47" s="33" t="n"/>
      <c r="D47" s="33" t="n"/>
      <c r="E47" s="33" t="n"/>
      <c r="F47" s="33" t="n"/>
      <c r="G47" s="33" t="n"/>
    </row>
    <row r="48" ht="41" customHeight="1" s="26">
      <c r="A48" s="27" t="inlineStr">
        <is>
          <t>18_2026-03-12_05-37-56</t>
        </is>
      </c>
      <c r="B48" s="27" t="inlineStr">
        <is>
          <t>1773293998604_1773294018505</t>
        </is>
      </c>
      <c r="C48" s="27" t="inlineStr">
        <is>
          <t>1773294004605 - 1773294005505</t>
        </is>
      </c>
      <c r="D48" s="32">
        <f>IMAGE("https://liskibruh.github.io/l4_data_sheets_table_images_mapper/l4_problematic_frames/xl/media/image704.png")</f>
        <v/>
      </c>
      <c r="E48" s="32">
        <f>IMAGE("https://liskibruh.github.io/l4_data_sheets_table_images_mapper/l4_problematic_frames/xl/media/image705.png")</f>
        <v/>
      </c>
      <c r="F48" s="30" t="n"/>
      <c r="G48" s="27" t="inlineStr">
        <is>
          <t>Missing Pedestrian</t>
        </is>
      </c>
    </row>
    <row r="49" ht="17" customHeight="1" s="26">
      <c r="A49" s="33" t="n"/>
      <c r="B49" s="33" t="n"/>
      <c r="C49" s="33" t="n"/>
      <c r="D49" s="33" t="n"/>
      <c r="E49" s="33" t="n"/>
      <c r="F49" s="33" t="n"/>
      <c r="G49" s="33" t="n"/>
    </row>
    <row r="50" ht="41" customHeight="1" s="26">
      <c r="A50" s="27" t="inlineStr">
        <is>
          <t>18_2026-03-12_05-37-56</t>
        </is>
      </c>
      <c r="B50" s="27" t="inlineStr">
        <is>
          <t>1773293998604_1773294018505</t>
        </is>
      </c>
      <c r="C50" s="27" t="inlineStr">
        <is>
          <t>1773294008604 - 1773294010504</t>
        </is>
      </c>
      <c r="D50" s="32">
        <f>IMAGE("https://liskibruh.github.io/l4_data_sheets_table_images_mapper/l4_problematic_frames/xl/media/image706.png")</f>
        <v/>
      </c>
      <c r="E50" s="32">
        <f>IMAGE("https://liskibruh.github.io/l4_data_sheets_table_images_mapper/l4_problematic_frames/xl/media/image707.png")</f>
        <v/>
      </c>
      <c r="F50" s="30" t="n"/>
      <c r="G50" s="27" t="inlineStr">
        <is>
          <t>Missing Static Object and Pedestrian</t>
        </is>
      </c>
    </row>
    <row r="51" ht="17" customHeight="1" s="26">
      <c r="A51" s="33" t="n"/>
      <c r="B51" s="33" t="n"/>
      <c r="C51" s="33" t="n"/>
      <c r="D51" s="33" t="n"/>
      <c r="E51" s="33" t="n"/>
      <c r="F51" s="33" t="n"/>
      <c r="G51" s="33" t="n"/>
    </row>
    <row r="52" ht="41" customHeight="1" s="26">
      <c r="A52" s="27" t="inlineStr">
        <is>
          <t>18_2026-03-12_05-37-56</t>
        </is>
      </c>
      <c r="B52" s="27" t="inlineStr">
        <is>
          <t>1773293998604_1773294018505</t>
        </is>
      </c>
      <c r="C52" s="27" t="inlineStr">
        <is>
          <t>1773294016605 - 1773294017505</t>
        </is>
      </c>
      <c r="D52" s="32">
        <f>IMAGE("https://liskibruh.github.io/l4_data_sheets_table_images_mapper/l4_problematic_frames/xl/media/image708.png")</f>
        <v/>
      </c>
      <c r="E52" s="32">
        <f>IMAGE("https://liskibruh.github.io/l4_data_sheets_table_images_mapper/l4_problematic_frames/xl/media/image709.png")</f>
        <v/>
      </c>
      <c r="F52" s="30" t="n"/>
      <c r="G52" s="27" t="inlineStr">
        <is>
          <t>Misoriented Direction of Truck</t>
        </is>
      </c>
    </row>
    <row r="53" ht="17" customHeight="1" s="26">
      <c r="A53" s="33" t="n"/>
      <c r="B53" s="33" t="n"/>
      <c r="C53" s="33" t="n"/>
      <c r="D53" s="33" t="n"/>
      <c r="E53" s="33" t="n"/>
      <c r="F53" s="33" t="n"/>
      <c r="G53" s="33" t="n"/>
    </row>
    <row r="54" ht="41" customHeight="1" s="26">
      <c r="A54" s="27" t="inlineStr">
        <is>
          <t>18_2026-03-12_05-37-56</t>
        </is>
      </c>
      <c r="B54" s="27" t="inlineStr">
        <is>
          <t>1773294018604_1773294038505</t>
        </is>
      </c>
      <c r="C54" s="27" t="inlineStr">
        <is>
          <t>1773294018604 - 1773294019504</t>
        </is>
      </c>
      <c r="D54" s="32">
        <f>IMAGE("https://liskibruh.github.io/l4_data_sheets_table_images_mapper/l4_problematic_frames/xl/media/image710.png")</f>
        <v/>
      </c>
      <c r="E54" s="32">
        <f>IMAGE("https://liskibruh.github.io/l4_data_sheets_table_images_mapper/l4_problematic_frames/xl/media/image711.png")</f>
        <v/>
      </c>
      <c r="F54" s="30" t="n"/>
      <c r="G54" s="27" t="inlineStr">
        <is>
          <t>Misclassification of Truck as Car</t>
        </is>
      </c>
    </row>
    <row r="55" ht="17" customHeight="1" s="26">
      <c r="A55" s="33" t="n"/>
      <c r="B55" s="33" t="n"/>
      <c r="C55" s="33" t="n"/>
      <c r="D55" s="33" t="n"/>
      <c r="E55" s="33" t="n"/>
      <c r="F55" s="33" t="n"/>
      <c r="G55" s="33" t="n"/>
    </row>
    <row r="56" ht="41" customHeight="1" s="26">
      <c r="A56" s="27" t="inlineStr">
        <is>
          <t>18_2026-03-12_05-37-56</t>
        </is>
      </c>
      <c r="B56" s="27" t="inlineStr">
        <is>
          <t>1773294018604_1773294038505</t>
        </is>
      </c>
      <c r="C56" s="27" t="inlineStr">
        <is>
          <t>1773294019604 - 1773294020704</t>
        </is>
      </c>
      <c r="D56" s="32">
        <f>IMAGE("https://liskibruh.github.io/l4_data_sheets_table_images_mapper/l4_problematic_frames/xl/media/image712.png")</f>
        <v/>
      </c>
      <c r="E56" s="32">
        <f>IMAGE("https://liskibruh.github.io/l4_data_sheets_table_images_mapper/l4_problematic_frames/xl/media/image713.png")</f>
        <v/>
      </c>
      <c r="F56" s="30" t="n"/>
      <c r="G56" s="27" t="inlineStr">
        <is>
          <t>Missing Static Objects</t>
        </is>
      </c>
    </row>
    <row r="57" ht="17" customHeight="1" s="26">
      <c r="A57" s="33" t="n"/>
      <c r="B57" s="33" t="n"/>
      <c r="C57" s="33" t="n"/>
      <c r="D57" s="33" t="n"/>
      <c r="E57" s="33" t="n"/>
      <c r="F57" s="33" t="n"/>
      <c r="G57" s="33" t="n"/>
    </row>
    <row r="58" ht="41" customHeight="1" s="26">
      <c r="A58" s="27" t="inlineStr">
        <is>
          <t>18_2026-03-12_05-37-56</t>
        </is>
      </c>
      <c r="B58" s="27" t="inlineStr">
        <is>
          <t>1773294018604_1773294038505</t>
        </is>
      </c>
      <c r="C58" s="27" t="inlineStr">
        <is>
          <t>1773294022704 - 1773294023504</t>
        </is>
      </c>
      <c r="D58" s="32">
        <f>IMAGE("https://liskibruh.github.io/l4_data_sheets_table_images_mapper/l4_problematic_frames/xl/media/image714.png")</f>
        <v/>
      </c>
      <c r="E58" s="32">
        <f>IMAGE("https://liskibruh.github.io/l4_data_sheets_table_images_mapper/l4_problematic_frames/xl/media/image715.png")</f>
        <v/>
      </c>
      <c r="F58" s="30" t="n"/>
      <c r="G58" s="27" t="inlineStr">
        <is>
          <t>False Positive Trucks</t>
        </is>
      </c>
    </row>
    <row r="59" ht="17" customHeight="1" s="26">
      <c r="A59" s="33" t="n"/>
      <c r="B59" s="33" t="n"/>
      <c r="C59" s="33" t="n"/>
      <c r="D59" s="33" t="n"/>
      <c r="E59" s="33" t="n"/>
      <c r="F59" s="33" t="n"/>
      <c r="G59" s="33" t="n"/>
    </row>
    <row r="60" ht="41" customHeight="1" s="26">
      <c r="A60" s="27" t="inlineStr">
        <is>
          <t>18_2026-03-12_05-37-56</t>
        </is>
      </c>
      <c r="B60" s="27" t="inlineStr">
        <is>
          <t>1773294018604_1773294038505</t>
        </is>
      </c>
      <c r="C60" s="27" t="inlineStr">
        <is>
          <t>1773294024804 - 1773294025905</t>
        </is>
      </c>
      <c r="D60" s="32">
        <f>IMAGE("https://liskibruh.github.io/l4_data_sheets_table_images_mapper/l4_problematic_frames/xl/media/image716.png")</f>
        <v/>
      </c>
      <c r="E60" s="32">
        <f>IMAGE("https://liskibruh.github.io/l4_data_sheets_table_images_mapper/l4_problematic_frames/xl/media/image717.png")</f>
        <v/>
      </c>
      <c r="F60" s="30" t="n"/>
      <c r="G60" s="27" t="inlineStr">
        <is>
          <t>Misclassification of Truck as Car</t>
        </is>
      </c>
    </row>
    <row r="61" ht="17" customHeight="1" s="26">
      <c r="A61" s="33" t="n"/>
      <c r="B61" s="33" t="n"/>
      <c r="C61" s="33" t="n"/>
      <c r="D61" s="33" t="n"/>
      <c r="E61" s="33" t="n"/>
      <c r="F61" s="33" t="n"/>
      <c r="G61" s="33" t="n"/>
    </row>
    <row r="62" ht="41" customHeight="1" s="26">
      <c r="A62" s="27" t="inlineStr">
        <is>
          <t>18_2026-03-12_05-37-56</t>
        </is>
      </c>
      <c r="B62" s="27" t="inlineStr">
        <is>
          <t>1773294038605_1773294058604</t>
        </is>
      </c>
      <c r="C62" s="27" t="inlineStr">
        <is>
          <t>1773294040904 - 1773294041804</t>
        </is>
      </c>
      <c r="D62" s="32">
        <f>IMAGE("https://liskibruh.github.io/l4_data_sheets_table_images_mapper/l4_problematic_frames/xl/media/image718.png")</f>
        <v/>
      </c>
      <c r="E62" s="32">
        <f>IMAGE("https://liskibruh.github.io/l4_data_sheets_table_images_mapper/l4_problematic_frames/xl/media/image719.png")</f>
        <v/>
      </c>
      <c r="F62" s="30" t="n"/>
      <c r="G62" s="27" t="inlineStr">
        <is>
          <t>Misoriented Direction of Truck</t>
        </is>
      </c>
    </row>
    <row r="63" ht="17" customHeight="1" s="26">
      <c r="A63" s="33" t="n"/>
      <c r="B63" s="33" t="n"/>
      <c r="C63" s="33" t="n"/>
      <c r="D63" s="33" t="n"/>
      <c r="E63" s="33" t="n"/>
      <c r="F63" s="33" t="n"/>
      <c r="G63" s="33" t="n"/>
    </row>
    <row r="64" ht="41" customHeight="1" s="26">
      <c r="A64" s="27" t="inlineStr">
        <is>
          <t>18_2026-03-12_05-37-56</t>
        </is>
      </c>
      <c r="B64" s="27" t="inlineStr">
        <is>
          <t>1773294038605_1773294058604</t>
        </is>
      </c>
      <c r="C64" s="27" t="inlineStr">
        <is>
          <t>1773294044905 - 1773294045805</t>
        </is>
      </c>
      <c r="D64" s="32">
        <f>IMAGE("https://liskibruh.github.io/l4_data_sheets_table_images_mapper/l4_problematic_frames/xl/media/image720.png")</f>
        <v/>
      </c>
      <c r="E64" s="32">
        <f>IMAGE("https://liskibruh.github.io/l4_data_sheets_table_images_mapper/l4_problematic_frames/xl/media/image721.png")</f>
        <v/>
      </c>
      <c r="F64" s="30" t="n"/>
      <c r="G64" s="27" t="inlineStr">
        <is>
          <t>Misoriented Direction of Trucks</t>
        </is>
      </c>
    </row>
    <row r="65" ht="17" customHeight="1" s="26">
      <c r="A65" s="33" t="n"/>
      <c r="B65" s="33" t="n"/>
      <c r="C65" s="33" t="n"/>
      <c r="D65" s="33" t="n"/>
      <c r="E65" s="33" t="n"/>
      <c r="F65" s="33" t="n"/>
      <c r="G65" s="33" t="n"/>
    </row>
    <row r="66" ht="41" customHeight="1" s="26">
      <c r="A66" s="27" t="inlineStr">
        <is>
          <t>18_2026-03-12_05-37-56</t>
        </is>
      </c>
      <c r="B66" s="27" t="inlineStr">
        <is>
          <t>1773294038605_1773294058604</t>
        </is>
      </c>
      <c r="C66" s="27" t="inlineStr">
        <is>
          <t>1773294045905 - 1773294046905</t>
        </is>
      </c>
      <c r="D66" s="32">
        <f>IMAGE("https://liskibruh.github.io/l4_data_sheets_table_images_mapper/l4_problematic_frames/xl/media/image722.png")</f>
        <v/>
      </c>
      <c r="E66" s="32">
        <f>IMAGE("https://liskibruh.github.io/l4_data_sheets_table_images_mapper/l4_problematic_frames/xl/media/image723.png")</f>
        <v/>
      </c>
      <c r="F66" s="30" t="n"/>
      <c r="G66" s="27" t="inlineStr">
        <is>
          <t>Misoriented Direction of Truck</t>
        </is>
      </c>
    </row>
    <row r="67" ht="17" customHeight="1" s="26">
      <c r="A67" s="33" t="n"/>
      <c r="B67" s="33" t="n"/>
      <c r="C67" s="33" t="n"/>
      <c r="D67" s="33" t="n"/>
      <c r="E67" s="33" t="n"/>
      <c r="F67" s="33" t="n"/>
      <c r="G67" s="33" t="n"/>
    </row>
    <row r="68" ht="41" customHeight="1" s="26">
      <c r="A68" s="27" t="inlineStr">
        <is>
          <t>18_2026-03-12_05-37-56</t>
        </is>
      </c>
      <c r="B68" s="27" t="inlineStr">
        <is>
          <t>1773294038605_1773294058604</t>
        </is>
      </c>
      <c r="C68" s="27" t="inlineStr">
        <is>
          <t>1773294048005 - 1773294048904</t>
        </is>
      </c>
      <c r="D68" s="32">
        <f>IMAGE("https://liskibruh.github.io/l4_data_sheets_table_images_mapper/l4_problematic_frames/xl/media/image724.png")</f>
        <v/>
      </c>
      <c r="E68" s="32">
        <f>IMAGE("https://liskibruh.github.io/l4_data_sheets_table_images_mapper/l4_problematic_frames/xl/media/image725.png")</f>
        <v/>
      </c>
      <c r="F68" s="30" t="n"/>
      <c r="G68" s="27" t="inlineStr">
        <is>
          <t>False Positive Trucks</t>
        </is>
      </c>
    </row>
    <row r="69" ht="17" customHeight="1" s="26">
      <c r="A69" s="33" t="n"/>
      <c r="B69" s="33" t="n"/>
      <c r="C69" s="33" t="n"/>
      <c r="D69" s="33" t="n"/>
      <c r="E69" s="33" t="n"/>
      <c r="F69" s="33" t="n"/>
      <c r="G69" s="33" t="n"/>
    </row>
    <row r="70" ht="84" customHeight="1" s="26">
      <c r="A70" s="27" t="inlineStr">
        <is>
          <t>18_2026-03-12_05-37-56</t>
        </is>
      </c>
      <c r="B70" s="27" t="inlineStr">
        <is>
          <t>1773294038605_1773294058604</t>
        </is>
      </c>
      <c r="C70" s="27" t="inlineStr">
        <is>
          <t>1773294050005 - 1773294051904</t>
        </is>
      </c>
      <c r="D70" s="32">
        <f>IMAGE("https://liskibruh.github.io/l4_data_sheets_table_images_mapper/l4_problematic_frames/xl/media/image726.png")</f>
        <v/>
      </c>
      <c r="E70" s="32">
        <f>IMAGE("https://liskibruh.github.io/l4_data_sheets_table_images_mapper/l4_problematic_frames/xl/media/image727.png")</f>
        <v/>
      </c>
      <c r="F70" s="30" t="n"/>
      <c r="G70" s="27" t="inlineStr">
        <is>
          <t>Misclassification of Truck as Car + Misoriented Direction of Truck</t>
        </is>
      </c>
    </row>
    <row r="71" ht="17" customHeight="1" s="26">
      <c r="A71" s="33" t="n"/>
      <c r="B71" s="33" t="n"/>
      <c r="C71" s="33" t="n"/>
      <c r="D71" s="33" t="n"/>
      <c r="E71" s="33" t="n"/>
      <c r="F71" s="33" t="n"/>
      <c r="G71" s="33" t="n"/>
    </row>
    <row r="72" ht="41" customHeight="1" s="26">
      <c r="A72" s="27" t="inlineStr">
        <is>
          <t>18_2026-03-12_05-37-56</t>
        </is>
      </c>
      <c r="B72" s="27" t="inlineStr">
        <is>
          <t>1773294038605_1773294058604</t>
        </is>
      </c>
      <c r="C72" s="27" t="inlineStr">
        <is>
          <t>1773294052804 - 1773294055405</t>
        </is>
      </c>
      <c r="D72" s="32">
        <f>IMAGE("https://liskibruh.github.io/l4_data_sheets_table_images_mapper/l4_problematic_frames/xl/media/image728.png")</f>
        <v/>
      </c>
      <c r="E72" s="32">
        <f>IMAGE("https://liskibruh.github.io/l4_data_sheets_table_images_mapper/l4_problematic_frames/xl/media/image729.png")</f>
        <v/>
      </c>
      <c r="F72" s="30" t="n"/>
      <c r="G72" s="27" t="inlineStr">
        <is>
          <t>Misoriented Direction of Trucks</t>
        </is>
      </c>
    </row>
    <row r="73" ht="17" customHeight="1" s="26">
      <c r="A73" s="33" t="n"/>
      <c r="B73" s="33" t="n"/>
      <c r="C73" s="33" t="n"/>
      <c r="D73" s="33" t="n"/>
      <c r="E73" s="33" t="n"/>
      <c r="F73" s="33" t="n"/>
      <c r="G73" s="33" t="n"/>
    </row>
    <row r="74" ht="41" customHeight="1" s="26">
      <c r="A74" s="27" t="inlineStr">
        <is>
          <t>18_2026-03-12_05-37-56</t>
        </is>
      </c>
      <c r="B74" s="27" t="inlineStr">
        <is>
          <t>1773294038605_1773294058604</t>
        </is>
      </c>
      <c r="C74" s="27" t="inlineStr">
        <is>
          <t>1773294056505, 1773294056605</t>
        </is>
      </c>
      <c r="D74" s="32">
        <f>IMAGE("https://liskibruh.github.io/l4_data_sheets_table_images_mapper/l4_problematic_frames/xl/media/image730.png")</f>
        <v/>
      </c>
      <c r="E74" s="32">
        <f>IMAGE("https://liskibruh.github.io/l4_data_sheets_table_images_mapper/l4_problematic_frames/xl/media/image731.png")</f>
        <v/>
      </c>
      <c r="F74" s="30" t="n"/>
      <c r="G74" s="27" t="inlineStr">
        <is>
          <t>Missing Truck</t>
        </is>
      </c>
    </row>
    <row r="75" ht="17" customHeight="1" s="26">
      <c r="A75" s="33" t="n"/>
      <c r="B75" s="33" t="n"/>
      <c r="C75" s="33" t="n"/>
      <c r="D75" s="33" t="n"/>
      <c r="E75" s="33" t="n"/>
      <c r="F75" s="33" t="n"/>
      <c r="G75" s="33" t="n"/>
    </row>
    <row r="76" ht="41" customHeight="1" s="26">
      <c r="A76" s="27" t="inlineStr">
        <is>
          <t>18_2026-03-12_05-37-56</t>
        </is>
      </c>
      <c r="B76" s="27" t="inlineStr">
        <is>
          <t>1773294038605_1773294058604</t>
        </is>
      </c>
      <c r="C76" s="27" t="inlineStr">
        <is>
          <t>1773294058704 - 1773294059704</t>
        </is>
      </c>
      <c r="D76" s="32">
        <f>IMAGE("https://liskibruh.github.io/l4_data_sheets_table_images_mapper/l4_problematic_frames/xl/media/image732.png")</f>
        <v/>
      </c>
      <c r="E76" s="32">
        <f>IMAGE("https://liskibruh.github.io/l4_data_sheets_table_images_mapper/l4_problematic_frames/xl/media/image732.png")</f>
        <v/>
      </c>
      <c r="F76" s="30" t="n"/>
      <c r="G76" s="27" t="inlineStr">
        <is>
          <t>False Positive Trucks and Car</t>
        </is>
      </c>
    </row>
    <row r="77" ht="17" customHeight="1" s="26">
      <c r="A77" s="33" t="n"/>
      <c r="B77" s="33" t="n"/>
      <c r="C77" s="33" t="n"/>
      <c r="D77" s="33" t="n"/>
      <c r="E77" s="33" t="n"/>
      <c r="F77" s="33" t="n"/>
      <c r="G77" s="33" t="n"/>
    </row>
    <row r="78" ht="41" customHeight="1" s="26">
      <c r="A78" s="27" t="inlineStr">
        <is>
          <t>18_2026-03-12_05-37-56</t>
        </is>
      </c>
      <c r="B78" s="27" t="inlineStr">
        <is>
          <t>1773294038605_1773294058604</t>
        </is>
      </c>
      <c r="C78" s="27" t="inlineStr">
        <is>
          <t>1773294060804 - 1773294061704</t>
        </is>
      </c>
      <c r="D78" s="32">
        <f>IMAGE("https://liskibruh.github.io/l4_data_sheets_table_images_mapper/l4_problematic_frames/xl/media/image733.png")</f>
        <v/>
      </c>
      <c r="E78" s="32">
        <f>IMAGE("https://liskibruh.github.io/l4_data_sheets_table_images_mapper/l4_problematic_frames/xl/media/image734.png")</f>
        <v/>
      </c>
      <c r="F78" s="30" t="n"/>
      <c r="G78" s="27" t="inlineStr">
        <is>
          <t>Misclassification of Truck as Car</t>
        </is>
      </c>
    </row>
    <row r="79" ht="17" customHeight="1" s="26">
      <c r="A79" s="33" t="n"/>
      <c r="B79" s="33" t="n"/>
      <c r="C79" s="33" t="n"/>
      <c r="D79" s="33" t="n"/>
      <c r="E79" s="33" t="n"/>
      <c r="F79" s="33" t="n"/>
      <c r="G79" s="33" t="n"/>
    </row>
    <row r="80" ht="41" customHeight="1" s="26">
      <c r="A80" s="27" t="inlineStr">
        <is>
          <t>18_2026-03-12_05-37-56</t>
        </is>
      </c>
      <c r="B80" s="27" t="inlineStr">
        <is>
          <t>1773294038605_1773294058604</t>
        </is>
      </c>
      <c r="C80" s="27" t="inlineStr">
        <is>
          <t>1773294063805 - 1773294065705</t>
        </is>
      </c>
      <c r="D80" s="32">
        <f>IMAGE("https://liskibruh.github.io/l4_data_sheets_table_images_mapper/l4_problematic_frames/xl/media/image735.png")</f>
        <v/>
      </c>
      <c r="E80" s="32">
        <f>IMAGE("https://liskibruh.github.io/l4_data_sheets_table_images_mapper/l4_problematic_frames/xl/media/image736.png")</f>
        <v/>
      </c>
      <c r="F80" s="30" t="n"/>
      <c r="G80" s="27" t="inlineStr">
        <is>
          <t>Missing Trucks</t>
        </is>
      </c>
    </row>
    <row r="81" ht="17" customHeight="1" s="26">
      <c r="A81" s="33" t="n"/>
      <c r="B81" s="33" t="n"/>
      <c r="C81" s="33" t="n"/>
      <c r="D81" s="33" t="n"/>
      <c r="E81" s="33" t="n"/>
      <c r="F81" s="33" t="n"/>
      <c r="G81" s="33" t="n"/>
    </row>
    <row r="82" ht="41" customHeight="1" s="26">
      <c r="A82" s="27" t="inlineStr">
        <is>
          <t>18_2026-03-12_05-37-56</t>
        </is>
      </c>
      <c r="B82" s="27" t="inlineStr">
        <is>
          <t>1773294038605_1773294058604</t>
        </is>
      </c>
      <c r="C82" s="27" t="inlineStr">
        <is>
          <t>1773294065804 - 1773294066704</t>
        </is>
      </c>
      <c r="D82" s="32">
        <f>IMAGE("https://liskibruh.github.io/l4_data_sheets_table_images_mapper/l4_problematic_frames/xl/media/image737.png")</f>
        <v/>
      </c>
      <c r="E82" s="32">
        <f>IMAGE("https://liskibruh.github.io/l4_data_sheets_table_images_mapper/l4_problematic_frames/xl/media/image738.png")</f>
        <v/>
      </c>
      <c r="F82" s="30" t="n"/>
      <c r="G82" s="27" t="inlineStr">
        <is>
          <t>Misoriented Direction of Truck</t>
        </is>
      </c>
    </row>
    <row r="83" ht="17" customHeight="1" s="26">
      <c r="A83" s="33" t="n"/>
      <c r="B83" s="33" t="n"/>
      <c r="C83" s="33" t="n"/>
      <c r="D83" s="33" t="n"/>
      <c r="E83" s="33" t="n"/>
      <c r="F83" s="33" t="n"/>
      <c r="G83" s="33" t="n"/>
    </row>
    <row r="84" ht="41" customHeight="1" s="26">
      <c r="A84" s="27" t="inlineStr">
        <is>
          <t>18_2026-03-12_05-37-56</t>
        </is>
      </c>
      <c r="B84" s="27" t="inlineStr">
        <is>
          <t>1773294038605_1773294058604</t>
        </is>
      </c>
      <c r="C84" s="27" t="inlineStr">
        <is>
          <t>1773294077404 - 1773294078604</t>
        </is>
      </c>
      <c r="D84" s="32">
        <f>IMAGE("https://liskibruh.github.io/l4_data_sheets_table_images_mapper/l4_problematic_frames/xl/media/image739.png")</f>
        <v/>
      </c>
      <c r="E84" s="32">
        <f>IMAGE("https://liskibruh.github.io/l4_data_sheets_table_images_mapper/l4_problematic_frames/xl/media/image740.png")</f>
        <v/>
      </c>
      <c r="F84" s="30" t="n"/>
      <c r="G84" s="27" t="inlineStr">
        <is>
          <t>False Positive Trucks</t>
        </is>
      </c>
    </row>
    <row r="85" ht="17" customHeight="1" s="26">
      <c r="A85" s="33" t="n"/>
      <c r="B85" s="33" t="n"/>
      <c r="C85" s="33" t="n"/>
      <c r="D85" s="33" t="n"/>
      <c r="E85" s="33" t="n"/>
      <c r="F85" s="33" t="n"/>
      <c r="G85" s="33" t="n"/>
    </row>
    <row r="86" ht="41" customHeight="1" s="26">
      <c r="A86" s="27" t="inlineStr">
        <is>
          <t>18_2026-03-12_05-37-56</t>
        </is>
      </c>
      <c r="B86" s="27" t="inlineStr">
        <is>
          <t>1773294038605_1773294058604</t>
        </is>
      </c>
      <c r="C86" s="27" t="inlineStr">
        <is>
          <t>1773294080705 - 1773294081605</t>
        </is>
      </c>
      <c r="D86" s="32">
        <f>IMAGE("https://liskibruh.github.io/l4_data_sheets_table_images_mapper/l4_problematic_frames/xl/media/image741.png")</f>
        <v/>
      </c>
      <c r="E86" s="32">
        <f>IMAGE("https://liskibruh.github.io/l4_data_sheets_table_images_mapper/l4_problematic_frames/xl/media/image742.png")</f>
        <v/>
      </c>
      <c r="F86" s="30" t="n"/>
      <c r="G86" s="27" t="inlineStr">
        <is>
          <t>Misoriented Direction of Trucks</t>
        </is>
      </c>
    </row>
    <row r="87" ht="17" customHeight="1" s="26">
      <c r="A87" s="33" t="n"/>
      <c r="B87" s="33" t="n"/>
      <c r="C87" s="33" t="n"/>
      <c r="D87" s="33" t="n"/>
      <c r="E87" s="33" t="n"/>
      <c r="F87" s="33" t="n"/>
      <c r="G87" s="33" t="n"/>
    </row>
    <row r="88" ht="41" customHeight="1" s="26">
      <c r="A88" s="27" t="inlineStr">
        <is>
          <t>18_2026-03-12_05-37-56</t>
        </is>
      </c>
      <c r="B88" s="27" t="inlineStr">
        <is>
          <t>1773294038605_1773294058604</t>
        </is>
      </c>
      <c r="C88" s="27" t="inlineStr">
        <is>
          <t>1773294089004 - 1773294090404</t>
        </is>
      </c>
      <c r="D88" s="32">
        <f>IMAGE("https://liskibruh.github.io/l4_data_sheets_table_images_mapper/l4_problematic_frames/xl/media/image743.png")</f>
        <v/>
      </c>
      <c r="E88" s="32">
        <f>IMAGE("https://liskibruh.github.io/l4_data_sheets_table_images_mapper/l4_problematic_frames/xl/media/image744.png")</f>
        <v/>
      </c>
      <c r="F88" s="30" t="n"/>
      <c r="G88" s="27" t="inlineStr">
        <is>
          <t>False Positive Car</t>
        </is>
      </c>
    </row>
    <row r="89" ht="17" customHeight="1" s="26">
      <c r="A89" s="33" t="n"/>
      <c r="B89" s="33" t="n"/>
      <c r="C89" s="33" t="n"/>
      <c r="D89" s="33" t="n"/>
      <c r="E89" s="33" t="n"/>
      <c r="F89" s="33" t="n"/>
      <c r="G89" s="33" t="n"/>
    </row>
    <row r="90" ht="41" customHeight="1" s="26">
      <c r="A90" s="27" t="inlineStr">
        <is>
          <t>18_2026-03-12_05-37-56</t>
        </is>
      </c>
      <c r="B90" s="27" t="inlineStr">
        <is>
          <t>1773294038605_1773294058604</t>
        </is>
      </c>
      <c r="C90" s="27" t="inlineStr">
        <is>
          <t>1773294092505 - 1773294093405</t>
        </is>
      </c>
      <c r="D90" s="32">
        <f>IMAGE("https://liskibruh.github.io/l4_data_sheets_table_images_mapper/l4_problematic_frames/xl/media/image745.png")</f>
        <v/>
      </c>
      <c r="E90" s="32">
        <f>IMAGE("https://liskibruh.github.io/l4_data_sheets_table_images_mapper/l4_problematic_frames/xl/media/image746.png")</f>
        <v/>
      </c>
      <c r="F90" s="30" t="n"/>
      <c r="G90" s="27" t="inlineStr">
        <is>
          <t>False Positive Trucks</t>
        </is>
      </c>
    </row>
    <row r="91" ht="17" customHeight="1" s="26">
      <c r="A91" s="33" t="n"/>
      <c r="B91" s="33" t="n"/>
      <c r="C91" s="33" t="n"/>
      <c r="D91" s="33" t="n"/>
      <c r="E91" s="33" t="n"/>
      <c r="F91" s="33" t="n"/>
      <c r="G91" s="33" t="n"/>
    </row>
    <row r="92" ht="41" customHeight="1" s="26">
      <c r="A92" s="27" t="inlineStr">
        <is>
          <t>18_2026-03-12_05-37-56</t>
        </is>
      </c>
      <c r="B92" s="27" t="inlineStr">
        <is>
          <t>1773294038605_1773294058604</t>
        </is>
      </c>
      <c r="C92" s="27" t="inlineStr">
        <is>
          <t>1773294093505 - 1773294096904</t>
        </is>
      </c>
      <c r="D92" s="32">
        <f>IMAGE("https://liskibruh.github.io/l4_data_sheets_table_images_mapper/l4_problematic_frames/xl/media/image747.png")</f>
        <v/>
      </c>
      <c r="E92" s="32">
        <f>IMAGE("https://liskibruh.github.io/l4_data_sheets_table_images_mapper/l4_problematic_frames/xl/media/image748.png")</f>
        <v/>
      </c>
      <c r="F92" s="30" t="n"/>
      <c r="G92" s="27" t="inlineStr">
        <is>
          <t>Misoriented Direction of Trucks</t>
        </is>
      </c>
    </row>
    <row r="93" ht="17" customHeight="1" s="26">
      <c r="A93" s="33" t="n"/>
      <c r="B93" s="33" t="n"/>
      <c r="C93" s="33" t="n"/>
      <c r="D93" s="33" t="n"/>
      <c r="E93" s="33" t="n"/>
      <c r="F93" s="33" t="n"/>
      <c r="G93" s="33" t="n"/>
    </row>
    <row r="94" ht="41" customHeight="1" s="26">
      <c r="A94" s="27" t="inlineStr">
        <is>
          <t>18_2026-03-12_05-37-56</t>
        </is>
      </c>
      <c r="B94" s="27" t="inlineStr">
        <is>
          <t>1773294038605_1773294058604</t>
        </is>
      </c>
      <c r="C94" s="27" t="inlineStr">
        <is>
          <t>1773294097904 - 1773294099605</t>
        </is>
      </c>
      <c r="D94" s="32">
        <f>IMAGE("https://liskibruh.github.io/l4_data_sheets_table_images_mapper/l4_problematic_frames/xl/media/image749.png")</f>
        <v/>
      </c>
      <c r="E94" s="32">
        <f>IMAGE("https://liskibruh.github.io/l4_data_sheets_table_images_mapper/l4_problematic_frames/xl/media/image750.png")</f>
        <v/>
      </c>
      <c r="F94" s="30" t="n"/>
      <c r="G94" s="27" t="inlineStr">
        <is>
          <t>Misoriented Direction of Truck</t>
        </is>
      </c>
    </row>
    <row r="95" ht="17" customHeight="1" s="26">
      <c r="A95" s="33" t="n"/>
      <c r="B95" s="33" t="n"/>
      <c r="C95" s="33" t="n"/>
      <c r="D95" s="33" t="n"/>
      <c r="E95" s="33" t="n"/>
      <c r="F95" s="33" t="n"/>
      <c r="G95" s="33" t="n"/>
    </row>
    <row r="96" ht="55" customHeight="1" s="26">
      <c r="A96" s="27" t="inlineStr">
        <is>
          <t>18_2026-03-12_05-37-56</t>
        </is>
      </c>
      <c r="B96" s="27" t="inlineStr">
        <is>
          <t>1773294098704_1773294118605</t>
        </is>
      </c>
      <c r="C96" s="27" t="inlineStr">
        <is>
          <t>1773294111804 - 1773294112804</t>
        </is>
      </c>
      <c r="D96" s="32">
        <f>IMAGE("https://liskibruh.github.io/l4_data_sheets_table_images_mapper/l4_problematic_frames/xl/media/image751.png")</f>
        <v/>
      </c>
      <c r="E96" s="32">
        <f>IMAGE("https://liskibruh.github.io/l4_data_sheets_table_images_mapper/l4_problematic_frames/xl/media/image752.png")</f>
        <v/>
      </c>
      <c r="F96" s="30" t="n"/>
      <c r="G96" s="27" t="inlineStr">
        <is>
          <t>Misclassification of Pedestrian as Static Object</t>
        </is>
      </c>
    </row>
    <row r="97" ht="17" customHeight="1" s="26">
      <c r="A97" s="33" t="n"/>
      <c r="B97" s="33" t="n"/>
      <c r="C97" s="33" t="n"/>
      <c r="D97" s="33" t="n"/>
      <c r="E97" s="33" t="n"/>
      <c r="F97" s="33" t="n"/>
      <c r="G97" s="33" t="n"/>
    </row>
    <row r="98" ht="69" customHeight="1" s="26">
      <c r="A98" s="27" t="inlineStr">
        <is>
          <t>18_2026-03-12_05-37-56</t>
        </is>
      </c>
      <c r="B98" s="27" t="inlineStr">
        <is>
          <t>1773294098704_1773294118605</t>
        </is>
      </c>
      <c r="C98" s="27" t="inlineStr">
        <is>
          <t>1773294115104 - 1773294116004, 1773294118104</t>
        </is>
      </c>
      <c r="D98" s="32">
        <f>IMAGE("https://liskibruh.github.io/l4_data_sheets_table_images_mapper/l4_problematic_frames/xl/media/image753.png")</f>
        <v/>
      </c>
      <c r="E98" s="32">
        <f>IMAGE("https://liskibruh.github.io/l4_data_sheets_table_images_mapper/l4_problematic_frames/xl/media/image754.png")</f>
        <v/>
      </c>
      <c r="F98" s="30" t="n"/>
      <c r="G98" s="27" t="inlineStr">
        <is>
          <t>Missing Trucks</t>
        </is>
      </c>
    </row>
    <row r="99" ht="17" customHeight="1" s="26">
      <c r="A99" s="33" t="n"/>
      <c r="B99" s="33" t="n"/>
      <c r="C99" s="33" t="n"/>
      <c r="D99" s="33" t="n"/>
      <c r="E99" s="33" t="n"/>
      <c r="F99" s="33" t="n"/>
      <c r="G99" s="33" t="n"/>
    </row>
    <row r="100" ht="84" customHeight="1" s="26">
      <c r="A100" s="27" t="inlineStr">
        <is>
          <t>18_2026-03-12_05-37-56</t>
        </is>
      </c>
      <c r="B100" s="27" t="inlineStr">
        <is>
          <t>1773294118705_1773294138704</t>
        </is>
      </c>
      <c r="C100" s="27" t="inlineStr">
        <is>
          <t>1773294118705 - 1773294120605</t>
        </is>
      </c>
      <c r="D100" s="32">
        <f>IMAGE("https://liskibruh.github.io/l4_data_sheets_table_images_mapper/l4_problematic_frames/xl/media/image755.png")</f>
        <v/>
      </c>
      <c r="E100" s="32">
        <f>IMAGE("https://liskibruh.github.io/l4_data_sheets_table_images_mapper/l4_problematic_frames/xl/media/image756.png")</f>
        <v/>
      </c>
      <c r="F100" s="30" t="n"/>
      <c r="G100" s="27" t="inlineStr">
        <is>
          <t>Misclassification of Pedestrian as Static Object + Missing Trucks</t>
        </is>
      </c>
    </row>
    <row r="101" ht="17" customHeight="1" s="26">
      <c r="A101" s="33" t="n"/>
      <c r="B101" s="33" t="n"/>
      <c r="C101" s="33" t="n"/>
      <c r="D101" s="33" t="n"/>
      <c r="E101" s="33" t="n"/>
      <c r="F101" s="33" t="n"/>
      <c r="G101" s="33" t="n"/>
    </row>
    <row r="102" ht="41" customHeight="1" s="26">
      <c r="A102" s="27" t="inlineStr">
        <is>
          <t>18_2026-03-12_05-37-56</t>
        </is>
      </c>
      <c r="B102" s="27" t="inlineStr">
        <is>
          <t>1773294118705_1773294138704</t>
        </is>
      </c>
      <c r="C102" s="27" t="inlineStr">
        <is>
          <t>1773294121704 - 1773294122604</t>
        </is>
      </c>
      <c r="D102" s="32">
        <f>IMAGE("https://liskibruh.github.io/l4_data_sheets_table_images_mapper/l4_problematic_frames/xl/media/image757.png")</f>
        <v/>
      </c>
      <c r="E102" s="32">
        <f>IMAGE("https://liskibruh.github.io/l4_data_sheets_table_images_mapper/l4_problematic_frames/xl/media/image758.png")</f>
        <v/>
      </c>
      <c r="F102" s="30" t="n"/>
      <c r="G102" s="27" t="inlineStr">
        <is>
          <t>Missing Truck</t>
        </is>
      </c>
    </row>
    <row r="103" ht="17" customHeight="1" s="26">
      <c r="A103" s="33" t="n"/>
      <c r="B103" s="33" t="n"/>
      <c r="C103" s="33" t="n"/>
      <c r="D103" s="33" t="n"/>
      <c r="E103" s="33" t="n"/>
      <c r="F103" s="33" t="n"/>
      <c r="G103" s="33" t="n"/>
    </row>
    <row r="104" ht="41" customHeight="1" s="26">
      <c r="A104" s="27" t="inlineStr">
        <is>
          <t>18_2026-03-12_05-37-56</t>
        </is>
      </c>
      <c r="B104" s="27" t="inlineStr">
        <is>
          <t>1773294118705_1773294138704</t>
        </is>
      </c>
      <c r="C104" s="27" t="inlineStr">
        <is>
          <t>1773294124704 - 1773294125604</t>
        </is>
      </c>
      <c r="D104" s="32">
        <f>IMAGE("https://liskibruh.github.io/l4_data_sheets_table_images_mapper/l4_problematic_frames/xl/media/image759.png")</f>
        <v/>
      </c>
      <c r="E104" s="32">
        <f>IMAGE("https://liskibruh.github.io/l4_data_sheets_table_images_mapper/l4_problematic_frames/xl/media/image760.png")</f>
        <v/>
      </c>
      <c r="F104" s="30" t="n"/>
      <c r="G104" s="27" t="inlineStr">
        <is>
          <t>Missing Static Object</t>
        </is>
      </c>
    </row>
    <row r="105" ht="17" customHeight="1" s="26">
      <c r="A105" s="33" t="n"/>
      <c r="B105" s="33" t="n"/>
      <c r="C105" s="33" t="n"/>
      <c r="D105" s="33" t="n"/>
      <c r="E105" s="33" t="n"/>
      <c r="F105" s="33" t="n"/>
      <c r="G105" s="33" t="n"/>
    </row>
    <row r="106" ht="55" customHeight="1" s="26">
      <c r="A106" s="27" t="inlineStr">
        <is>
          <t>18_2026-03-12_05-37-56</t>
        </is>
      </c>
      <c r="B106" s="27" t="inlineStr">
        <is>
          <t>1773294118705_1773294138704</t>
        </is>
      </c>
      <c r="C106" s="27" t="inlineStr">
        <is>
          <t>1773294125704 - 1773294126605</t>
        </is>
      </c>
      <c r="D106" s="32">
        <f>IMAGE("https://liskibruh.github.io/l4_data_sheets_table_images_mapper/l4_problematic_frames/xl/media/image761.png")</f>
        <v/>
      </c>
      <c r="E106" s="32">
        <f>IMAGE("https://liskibruh.github.io/l4_data_sheets_table_images_mapper/l4_problematic_frames/xl/media/image762.png")</f>
        <v/>
      </c>
      <c r="F106" s="30" t="n"/>
      <c r="G106" s="27" t="inlineStr">
        <is>
          <t>Misclassification of Pedestrian as Static Object</t>
        </is>
      </c>
    </row>
    <row r="107" ht="17" customHeight="1" s="26">
      <c r="A107" s="33" t="n"/>
      <c r="B107" s="33" t="n"/>
      <c r="C107" s="33" t="n"/>
      <c r="D107" s="33" t="n"/>
      <c r="E107" s="33" t="n"/>
      <c r="F107" s="33" t="n"/>
      <c r="G107" s="33" t="n"/>
    </row>
    <row r="108" ht="98" customHeight="1" s="26">
      <c r="A108" s="27" t="inlineStr">
        <is>
          <t>18_2026-03-12_05-37-56</t>
        </is>
      </c>
      <c r="B108" s="27" t="inlineStr">
        <is>
          <t>1773294118705_1773294138704</t>
        </is>
      </c>
      <c r="C108" s="27" t="inlineStr">
        <is>
          <t>1773294130704 - 1773294132604</t>
        </is>
      </c>
      <c r="D108" s="32">
        <f>IMAGE("https://liskibruh.github.io/l4_data_sheets_table_images_mapper/l4_problematic_frames/xl/media/image763.png")</f>
        <v/>
      </c>
      <c r="E108" s="32">
        <f>IMAGE("https://liskibruh.github.io/l4_data_sheets_table_images_mapper/l4_problematic_frames/xl/media/image764.png")</f>
        <v/>
      </c>
      <c r="F108" s="30" t="n"/>
      <c r="G108" s="27" t="inlineStr">
        <is>
          <t>Misclassification of Static Objects as Cars + Missing Static Objects</t>
        </is>
      </c>
    </row>
    <row r="109" ht="17" customHeight="1" s="26">
      <c r="A109" s="33" t="n"/>
      <c r="B109" s="33" t="n"/>
      <c r="C109" s="33" t="n"/>
      <c r="D109" s="33" t="n"/>
      <c r="E109" s="33" t="n"/>
      <c r="F109" s="33" t="n"/>
      <c r="G109" s="33" t="n"/>
    </row>
    <row r="110" ht="41" customHeight="1" s="26">
      <c r="A110" s="27" t="inlineStr">
        <is>
          <t>18_2026-03-12_05-37-56</t>
        </is>
      </c>
      <c r="B110" s="27" t="inlineStr">
        <is>
          <t>1773294118705_1773294138704</t>
        </is>
      </c>
      <c r="C110" s="27" t="n">
        <v>1773294135404</v>
      </c>
      <c r="D110" s="32">
        <f>IMAGE("https://liskibruh.github.io/l4_data_sheets_table_images_mapper/l4_problematic_frames/xl/media/image765.png")</f>
        <v/>
      </c>
      <c r="E110" s="32">
        <f>IMAGE("https://liskibruh.github.io/l4_data_sheets_table_images_mapper/l4_problematic_frames/xl/media/image766.png")</f>
        <v/>
      </c>
      <c r="F110" s="30" t="n"/>
      <c r="G110" s="27" t="inlineStr">
        <is>
          <t>Missing Car</t>
        </is>
      </c>
    </row>
    <row r="111" ht="17" customHeight="1" s="26">
      <c r="A111" s="33" t="n"/>
      <c r="B111" s="33" t="n"/>
      <c r="C111" s="33" t="n"/>
      <c r="D111" s="33" t="n"/>
      <c r="E111" s="33" t="n"/>
      <c r="F111" s="33" t="n"/>
      <c r="G111" s="33" t="n"/>
    </row>
    <row r="112" ht="84" customHeight="1" s="26">
      <c r="A112" s="27" t="inlineStr">
        <is>
          <t>18_2026-03-12_05-37-56</t>
        </is>
      </c>
      <c r="B112" s="27" t="inlineStr">
        <is>
          <t>1773294118705_1773294138704</t>
        </is>
      </c>
      <c r="C112" s="27" t="inlineStr">
        <is>
          <t>1773294136705 - 1773294138704</t>
        </is>
      </c>
      <c r="D112" s="32">
        <f>IMAGE("https://liskibruh.github.io/l4_data_sheets_table_images_mapper/l4_problematic_frames/xl/media/image767.png")</f>
        <v/>
      </c>
      <c r="E112" s="32">
        <f>IMAGE("https://liskibruh.github.io/l4_data_sheets_table_images_mapper/l4_problematic_frames/xl/media/image768.png")</f>
        <v/>
      </c>
      <c r="F112" s="30" t="n"/>
      <c r="G112" s="27" t="inlineStr">
        <is>
          <t>Misclassification of Truck as Car + Missing Static Object</t>
        </is>
      </c>
    </row>
    <row r="113" ht="17" customHeight="1" s="26">
      <c r="A113" s="33" t="n"/>
      <c r="B113" s="33" t="n"/>
      <c r="C113" s="33" t="n"/>
      <c r="D113" s="33" t="n"/>
      <c r="E113" s="33" t="n"/>
      <c r="F113" s="33" t="n"/>
      <c r="G113" s="33" t="n"/>
    </row>
    <row r="114" ht="84" customHeight="1" s="26">
      <c r="A114" s="27" t="inlineStr">
        <is>
          <t>18_2026-03-12_05-37-56</t>
        </is>
      </c>
      <c r="B114" s="27" t="inlineStr">
        <is>
          <t>1773294138804_1773294158704</t>
        </is>
      </c>
      <c r="C114" s="27" t="inlineStr">
        <is>
          <t>1773294143905 - 1773294146805</t>
        </is>
      </c>
      <c r="D114" s="32">
        <f>IMAGE("https://liskibruh.github.io/l4_data_sheets_table_images_mapper/l4_problematic_frames/xl/media/image769.png")</f>
        <v/>
      </c>
      <c r="E114" s="32">
        <f>IMAGE("https://liskibruh.github.io/l4_data_sheets_table_images_mapper/l4_problematic_frames/xl/media/image770.png")</f>
        <v/>
      </c>
      <c r="F114" s="30" t="n"/>
      <c r="G114" s="27" t="inlineStr">
        <is>
          <t>Misclassification of Cyclist as Static Object + Missing Cyclist</t>
        </is>
      </c>
    </row>
    <row r="115" ht="17" customHeight="1" s="26">
      <c r="A115" s="33" t="n"/>
      <c r="B115" s="33" t="n"/>
      <c r="C115" s="33" t="n"/>
      <c r="D115" s="33" t="n"/>
      <c r="E115" s="33" t="n"/>
      <c r="F115" s="33" t="n"/>
      <c r="G115" s="33" t="n"/>
    </row>
    <row r="116" ht="41" customHeight="1" s="26">
      <c r="A116" s="27" t="inlineStr">
        <is>
          <t>18_2026-03-12_05-37-56</t>
        </is>
      </c>
      <c r="B116" s="27" t="inlineStr">
        <is>
          <t>1773294138804_1773294158704</t>
        </is>
      </c>
      <c r="C116" s="27" t="inlineStr">
        <is>
          <t>1773294145905 - 1773294146505</t>
        </is>
      </c>
      <c r="D116" s="32">
        <f>IMAGE("https://liskibruh.github.io/l4_data_sheets_table_images_mapper/l4_problematic_frames/xl/media/image771.png")</f>
        <v/>
      </c>
      <c r="E116" s="32">
        <f>IMAGE("https://liskibruh.github.io/l4_data_sheets_table_images_mapper/l4_problematic_frames/xl/media/image772.png")</f>
        <v/>
      </c>
      <c r="F116" s="30" t="n"/>
      <c r="G116" s="27" t="inlineStr">
        <is>
          <t>False Positive Truck</t>
        </is>
      </c>
    </row>
    <row r="117" ht="17" customHeight="1" s="26">
      <c r="A117" s="33" t="n"/>
      <c r="B117" s="33" t="n"/>
      <c r="C117" s="33" t="n"/>
      <c r="D117" s="33" t="n"/>
      <c r="E117" s="33" t="n"/>
      <c r="F117" s="33" t="n"/>
      <c r="G117" s="33" t="n"/>
    </row>
    <row r="118" ht="41" customHeight="1" s="26">
      <c r="A118" s="27" t="inlineStr">
        <is>
          <t>18_2026-03-12_05-37-56</t>
        </is>
      </c>
      <c r="B118" s="27" t="inlineStr">
        <is>
          <t>1773294138804_1773294158704</t>
        </is>
      </c>
      <c r="C118" s="27" t="inlineStr">
        <is>
          <t>1773294146904 - 1773294149804</t>
        </is>
      </c>
      <c r="D118" s="32">
        <f>IMAGE("https://liskibruh.github.io/l4_data_sheets_table_images_mapper/l4_problematic_frames/xl/media/image773.png")</f>
        <v/>
      </c>
      <c r="E118" s="32">
        <f>IMAGE("https://liskibruh.github.io/l4_data_sheets_table_images_mapper/l4_problematic_frames/xl/media/image774.png")</f>
        <v/>
      </c>
      <c r="F118" s="30" t="n"/>
      <c r="G118" s="27" t="inlineStr">
        <is>
          <t>Misoriented Direction of Truck</t>
        </is>
      </c>
    </row>
    <row r="119" ht="17" customHeight="1" s="26">
      <c r="A119" s="33" t="n"/>
      <c r="B119" s="33" t="n"/>
      <c r="C119" s="33" t="n"/>
      <c r="D119" s="33" t="n"/>
      <c r="E119" s="33" t="n"/>
      <c r="F119" s="33" t="n"/>
      <c r="G119" s="33" t="n"/>
    </row>
    <row r="120" ht="41" customHeight="1" s="26">
      <c r="A120" s="27" t="inlineStr">
        <is>
          <t>18_2026-03-12_05-37-56</t>
        </is>
      </c>
      <c r="B120" s="27" t="inlineStr">
        <is>
          <t>1773294138804_1773294158704</t>
        </is>
      </c>
      <c r="C120" s="27" t="n">
        <v>1773294153805</v>
      </c>
      <c r="D120" s="32">
        <f>IMAGE("https://liskibruh.github.io/l4_data_sheets_table_images_mapper/l4_problematic_frames/xl/media/image775.png")</f>
        <v/>
      </c>
      <c r="E120" s="32">
        <f>IMAGE("https://liskibruh.github.io/l4_data_sheets_table_images_mapper/l4_problematic_frames/xl/media/image776.png")</f>
        <v/>
      </c>
      <c r="F120" s="30" t="n"/>
      <c r="G120" s="27" t="inlineStr">
        <is>
          <t>Missing Pedestrian</t>
        </is>
      </c>
    </row>
    <row r="121" ht="17" customHeight="1" s="26">
      <c r="A121" s="33" t="n"/>
      <c r="B121" s="33" t="n"/>
      <c r="C121" s="33" t="n"/>
      <c r="D121" s="33" t="n"/>
      <c r="E121" s="33" t="n"/>
      <c r="F121" s="33" t="n"/>
      <c r="G121" s="33" t="n"/>
    </row>
    <row r="122" ht="41" customHeight="1" s="26">
      <c r="A122" s="27" t="inlineStr">
        <is>
          <t>18_2026-03-12_05-37-56</t>
        </is>
      </c>
      <c r="B122" s="27" t="inlineStr">
        <is>
          <t>1773294158804_1773294178704</t>
        </is>
      </c>
      <c r="C122" s="27" t="inlineStr">
        <is>
          <t>1773294160304 - 1773294160704</t>
        </is>
      </c>
      <c r="D122" s="32">
        <f>IMAGE("https://liskibruh.github.io/l4_data_sheets_table_images_mapper/l4_problematic_frames/xl/media/image777.png")</f>
        <v/>
      </c>
      <c r="E122" s="32">
        <f>IMAGE("https://liskibruh.github.io/l4_data_sheets_table_images_mapper/l4_problematic_frames/xl/media/image778.png")</f>
        <v/>
      </c>
      <c r="F122" s="30" t="n"/>
      <c r="G122" s="27" t="inlineStr">
        <is>
          <t>Missing Pedestrians</t>
        </is>
      </c>
    </row>
    <row r="123" ht="17" customHeight="1" s="26">
      <c r="A123" s="33" t="n"/>
      <c r="B123" s="33" t="n"/>
      <c r="C123" s="33" t="n"/>
      <c r="D123" s="33" t="n"/>
      <c r="E123" s="33" t="n"/>
      <c r="F123" s="33" t="n"/>
      <c r="G123" s="33" t="n"/>
    </row>
    <row r="124" ht="41" customHeight="1" s="26">
      <c r="A124" s="27" t="inlineStr">
        <is>
          <t>18_2026-03-12_05-37-56</t>
        </is>
      </c>
      <c r="B124" s="27" t="inlineStr">
        <is>
          <t>1773294158804_1773294178704</t>
        </is>
      </c>
      <c r="C124" s="27" t="n">
        <v>1773294162004</v>
      </c>
      <c r="D124" s="32">
        <f>IMAGE("https://liskibruh.github.io/l4_data_sheets_table_images_mapper/l4_problematic_frames/xl/media/image779.png")</f>
        <v/>
      </c>
      <c r="E124" s="32">
        <f>IMAGE("https://liskibruh.github.io/l4_data_sheets_table_images_mapper/l4_problematic_frames/xl/media/image780.png")</f>
        <v/>
      </c>
      <c r="F124" s="30" t="n"/>
      <c r="G124" s="27" t="inlineStr">
        <is>
          <t>Missing Pedestrian</t>
        </is>
      </c>
    </row>
    <row r="125" ht="17" customHeight="1" s="26">
      <c r="A125" s="33" t="n"/>
      <c r="B125" s="33" t="n"/>
      <c r="C125" s="33" t="n"/>
      <c r="D125" s="33" t="n"/>
      <c r="E125" s="33" t="n"/>
      <c r="F125" s="33" t="n"/>
      <c r="G125" s="33" t="n"/>
    </row>
    <row r="126" ht="84" customHeight="1" s="26">
      <c r="A126" s="27" t="inlineStr">
        <is>
          <t>18_2026-03-12_05-37-56</t>
        </is>
      </c>
      <c r="B126" s="27" t="inlineStr">
        <is>
          <t>1773294158804_1773294178704</t>
        </is>
      </c>
      <c r="C126" s="27" t="inlineStr">
        <is>
          <t>1773294162805 - 1773294163705</t>
        </is>
      </c>
      <c r="D126" s="32">
        <f>IMAGE("https://liskibruh.github.io/l4_data_sheets_table_images_mapper/l4_problematic_frames/xl/media/image781.png")</f>
        <v/>
      </c>
      <c r="E126" s="32">
        <f>IMAGE("https://liskibruh.github.io/l4_data_sheets_table_images_mapper/l4_problematic_frames/xl/media/image782.png")</f>
        <v/>
      </c>
      <c r="F126" s="30" t="n"/>
      <c r="G126" s="27" t="inlineStr">
        <is>
          <t>Misclassification of Truck as Car + Misoriented Direction of Truck</t>
        </is>
      </c>
    </row>
    <row r="127" ht="17" customHeight="1" s="26">
      <c r="A127" s="33" t="n"/>
      <c r="B127" s="33" t="n"/>
      <c r="C127" s="33" t="n"/>
      <c r="D127" s="33" t="n"/>
      <c r="E127" s="33" t="n"/>
      <c r="F127" s="33" t="n"/>
      <c r="G127" s="33" t="n"/>
    </row>
    <row r="128" ht="55" customHeight="1" s="26">
      <c r="A128" s="27" t="inlineStr">
        <is>
          <t>18_2026-03-12_05-37-56</t>
        </is>
      </c>
      <c r="B128" s="27" t="inlineStr">
        <is>
          <t>1773294158804_1773294178704</t>
        </is>
      </c>
      <c r="C128" s="27" t="inlineStr">
        <is>
          <t>1773294164805 - 1773294165704</t>
        </is>
      </c>
      <c r="D128" s="32">
        <f>IMAGE("https://liskibruh.github.io/l4_data_sheets_table_images_mapper/l4_problematic_frames/xl/media/image783.png")</f>
        <v/>
      </c>
      <c r="E128" s="32">
        <f>IMAGE("https://liskibruh.github.io/l4_data_sheets_table_images_mapper/l4_problematic_frames/xl/media/image784.png")</f>
        <v/>
      </c>
      <c r="F128" s="30" t="n"/>
      <c r="G128" s="27" t="inlineStr">
        <is>
          <t>Misclassification of Truck as Static Object</t>
        </is>
      </c>
    </row>
    <row r="129" ht="17" customHeight="1" s="26">
      <c r="A129" s="33" t="n"/>
      <c r="B129" s="33" t="n"/>
      <c r="C129" s="33" t="n"/>
      <c r="D129" s="33" t="n"/>
      <c r="E129" s="33" t="n"/>
      <c r="F129" s="33" t="n"/>
      <c r="G129" s="33" t="n"/>
    </row>
    <row r="130" ht="41" customHeight="1" s="26">
      <c r="A130" s="27" t="inlineStr">
        <is>
          <t>18_2026-03-12_05-37-56</t>
        </is>
      </c>
      <c r="B130" s="27" t="inlineStr">
        <is>
          <t>1773294158804_1773294178704</t>
        </is>
      </c>
      <c r="C130" s="27" t="inlineStr">
        <is>
          <t>1773294165804 - 1773294166405</t>
        </is>
      </c>
      <c r="D130" s="32">
        <f>IMAGE("https://liskibruh.github.io/l4_data_sheets_table_images_mapper/l4_problematic_frames/xl/media/image783.png")</f>
        <v/>
      </c>
      <c r="E130" s="32">
        <f>IMAGE("https://liskibruh.github.io/l4_data_sheets_table_images_mapper/l4_problematic_frames/xl/media/image784.png")</f>
        <v/>
      </c>
      <c r="F130" s="30" t="n"/>
      <c r="G130" s="27" t="inlineStr">
        <is>
          <t>Misclassification of Truck as Car</t>
        </is>
      </c>
    </row>
    <row r="131" ht="17" customHeight="1" s="26">
      <c r="A131" s="33" t="n"/>
      <c r="B131" s="33" t="n"/>
      <c r="C131" s="33" t="n"/>
      <c r="D131" s="33" t="n"/>
      <c r="E131" s="33" t="n"/>
      <c r="F131" s="33" t="n"/>
      <c r="G131" s="33" t="n"/>
    </row>
    <row r="132" ht="69" customHeight="1" s="26">
      <c r="A132" s="27" t="inlineStr">
        <is>
          <t>18_2026-03-12_05-37-56</t>
        </is>
      </c>
      <c r="B132" s="27" t="inlineStr">
        <is>
          <t>1773294158804_1773294178704</t>
        </is>
      </c>
      <c r="C132" s="27" t="inlineStr">
        <is>
          <t>1773294167704 - 1773294169604</t>
        </is>
      </c>
      <c r="D132" s="32">
        <f>IMAGE("https://liskibruh.github.io/l4_data_sheets_table_images_mapper/l4_problematic_frames/xl/media/image785.png")</f>
        <v/>
      </c>
      <c r="E132" s="32">
        <f>IMAGE("https://liskibruh.github.io/l4_data_sheets_table_images_mapper/l4_problematic_frames/xl/media/image786.png")</f>
        <v/>
      </c>
      <c r="F132" s="30" t="n"/>
      <c r="G132" s="27" t="inlineStr">
        <is>
          <t>Misclassification of Truck as Car, Missing Truck</t>
        </is>
      </c>
    </row>
    <row r="133" ht="17" customHeight="1" s="26">
      <c r="A133" s="33" t="n"/>
      <c r="B133" s="33" t="n"/>
      <c r="C133" s="33" t="n"/>
      <c r="D133" s="33" t="n"/>
      <c r="E133" s="33" t="n"/>
      <c r="F133" s="33" t="n"/>
      <c r="G133" s="33" t="n"/>
    </row>
    <row r="134" ht="41" customHeight="1" s="26">
      <c r="A134" s="27" t="inlineStr">
        <is>
          <t>18_2026-03-12_05-37-56</t>
        </is>
      </c>
      <c r="B134" s="27" t="inlineStr">
        <is>
          <t>1773294158804_1773294178704</t>
        </is>
      </c>
      <c r="C134" s="27" t="inlineStr">
        <is>
          <t>1773294170004 - 1773294170204</t>
        </is>
      </c>
      <c r="D134" s="32">
        <f>IMAGE("https://liskibruh.github.io/l4_data_sheets_table_images_mapper/l4_problematic_frames/xl/media/image787.png")</f>
        <v/>
      </c>
      <c r="E134" s="32">
        <f>IMAGE("https://liskibruh.github.io/l4_data_sheets_table_images_mapper/l4_problematic_frames/xl/media/image788.png")</f>
        <v/>
      </c>
      <c r="F134" s="30" t="n"/>
      <c r="G134" s="27" t="inlineStr">
        <is>
          <t>Missing Pedestrian</t>
        </is>
      </c>
    </row>
    <row r="135" ht="17" customHeight="1" s="26">
      <c r="A135" s="33" t="n"/>
      <c r="B135" s="33" t="n"/>
      <c r="C135" s="33" t="n"/>
      <c r="D135" s="33" t="n"/>
      <c r="E135" s="33" t="n"/>
      <c r="F135" s="33" t="n"/>
      <c r="G135" s="33" t="n"/>
    </row>
    <row r="136" ht="41" customHeight="1" s="26">
      <c r="A136" s="27" t="inlineStr">
        <is>
          <t>18_2026-03-12_05-37-56</t>
        </is>
      </c>
      <c r="B136" s="27" t="inlineStr">
        <is>
          <t>1773294158804_1773294178704</t>
        </is>
      </c>
      <c r="C136" s="27" t="inlineStr">
        <is>
          <t>1773294170704 - 1773294171605</t>
        </is>
      </c>
      <c r="D136" s="32">
        <f>IMAGE("https://liskibruh.github.io/l4_data_sheets_table_images_mapper/l4_problematic_frames/xl/media/image789.png")</f>
        <v/>
      </c>
      <c r="E136" s="32">
        <f>IMAGE("https://liskibruh.github.io/l4_data_sheets_table_images_mapper/l4_problematic_frames/xl/media/image790.png")</f>
        <v/>
      </c>
      <c r="F136" s="30" t="n"/>
      <c r="G136" s="27" t="inlineStr">
        <is>
          <t>Misoriented Direction of Truck</t>
        </is>
      </c>
    </row>
    <row r="137" ht="17" customHeight="1" s="26">
      <c r="A137" s="33" t="n"/>
      <c r="B137" s="33" t="n"/>
      <c r="C137" s="33" t="n"/>
      <c r="D137" s="33" t="n"/>
      <c r="E137" s="33" t="n"/>
      <c r="F137" s="33" t="n"/>
      <c r="G137" s="33" t="n"/>
    </row>
    <row r="138" ht="41" customHeight="1" s="26">
      <c r="A138" s="27" t="inlineStr">
        <is>
          <t>18_2026-03-12_05-37-56</t>
        </is>
      </c>
      <c r="B138" s="27" t="inlineStr">
        <is>
          <t>1773294158804_1773294178704</t>
        </is>
      </c>
      <c r="C138" s="27" t="inlineStr">
        <is>
          <t>1773294171705 - 1773294172605</t>
        </is>
      </c>
      <c r="D138" s="32">
        <f>IMAGE("https://liskibruh.github.io/l4_data_sheets_table_images_mapper/l4_problematic_frames/xl/media/image791.png")</f>
        <v/>
      </c>
      <c r="E138" s="32">
        <f>IMAGE("https://liskibruh.github.io/l4_data_sheets_table_images_mapper/l4_problematic_frames/xl/media/image792.png")</f>
        <v/>
      </c>
      <c r="F138" s="30" t="n"/>
      <c r="G138" s="27" t="inlineStr">
        <is>
          <t>Missing Truck</t>
        </is>
      </c>
    </row>
    <row r="139" ht="17" customHeight="1" s="26">
      <c r="A139" s="33" t="n"/>
      <c r="B139" s="33" t="n"/>
      <c r="C139" s="33" t="n"/>
      <c r="D139" s="33" t="n"/>
      <c r="E139" s="33" t="n"/>
      <c r="F139" s="33" t="n"/>
      <c r="G139" s="33" t="n"/>
    </row>
    <row r="140" ht="41" customHeight="1" s="26">
      <c r="A140" s="27" t="inlineStr">
        <is>
          <t>18_2026-03-12_05-37-56</t>
        </is>
      </c>
      <c r="B140" s="27" t="inlineStr">
        <is>
          <t>1773294158804_1773294178704</t>
        </is>
      </c>
      <c r="C140" s="27" t="inlineStr">
        <is>
          <t>1773294173705 - 1773294174704</t>
        </is>
      </c>
      <c r="D140" s="32">
        <f>IMAGE("https://liskibruh.github.io/l4_data_sheets_table_images_mapper/l4_problematic_frames/xl/media/image793.png")</f>
        <v/>
      </c>
      <c r="E140" s="32">
        <f>IMAGE("https://liskibruh.github.io/l4_data_sheets_table_images_mapper/l4_problematic_frames/xl/media/image794.png")</f>
        <v/>
      </c>
      <c r="F140" s="30" t="n"/>
      <c r="G140" s="27" t="inlineStr">
        <is>
          <t>False Positive Truck</t>
        </is>
      </c>
    </row>
    <row r="141" ht="17" customHeight="1" s="26">
      <c r="A141" s="33" t="n"/>
      <c r="B141" s="33" t="n"/>
      <c r="C141" s="33" t="n"/>
      <c r="D141" s="33" t="n"/>
      <c r="E141" s="33" t="n"/>
      <c r="F141" s="33" t="n"/>
      <c r="G141" s="33" t="n"/>
    </row>
    <row r="142" ht="55" customHeight="1" s="26">
      <c r="A142" s="27" t="inlineStr">
        <is>
          <t>18_2026-03-12_05-37-56</t>
        </is>
      </c>
      <c r="B142" s="27" t="inlineStr">
        <is>
          <t>1773294158804_1773294178704</t>
        </is>
      </c>
      <c r="C142" s="27" t="inlineStr">
        <is>
          <t>1773294174804 - 1773294175704</t>
        </is>
      </c>
      <c r="D142" s="32">
        <f>IMAGE("https://liskibruh.github.io/l4_data_sheets_table_images_mapper/l4_problematic_frames/xl/media/image795.png")</f>
        <v/>
      </c>
      <c r="E142" s="32">
        <f>IMAGE("https://liskibruh.github.io/l4_data_sheets_table_images_mapper/l4_problematic_frames/xl/media/image796.png")</f>
        <v/>
      </c>
      <c r="F142" s="30" t="n"/>
      <c r="G142" s="27" t="inlineStr">
        <is>
          <t>Pedestrians Misclassified as Static Objects</t>
        </is>
      </c>
    </row>
    <row r="143" ht="17" customHeight="1" s="26">
      <c r="A143" s="33" t="n"/>
      <c r="B143" s="33" t="n"/>
      <c r="C143" s="33" t="n"/>
      <c r="D143" s="33" t="n"/>
      <c r="E143" s="33" t="n"/>
      <c r="F143" s="33" t="n"/>
      <c r="G143" s="33" t="n"/>
    </row>
    <row r="144" ht="69" customHeight="1" s="26">
      <c r="A144" s="27" t="inlineStr">
        <is>
          <t>18_2026-03-12_05-37-56</t>
        </is>
      </c>
      <c r="B144" s="27" t="inlineStr">
        <is>
          <t>1773294158804_1773294178704</t>
        </is>
      </c>
      <c r="C144" s="27" t="inlineStr">
        <is>
          <t>1773294175804 - 1773294176704</t>
        </is>
      </c>
      <c r="D144" s="32">
        <f>IMAGE("https://liskibruh.github.io/l4_data_sheets_table_images_mapper/l4_problematic_frames/xl/media/image797.png")</f>
        <v/>
      </c>
      <c r="E144" s="32">
        <f>IMAGE("https://liskibruh.github.io/l4_data_sheets_table_images_mapper/l4_problematic_frames/xl/media/image794.png")</f>
        <v/>
      </c>
      <c r="F144" s="30" t="n"/>
      <c r="G144" s="27" t="inlineStr">
        <is>
          <t>Misclassification of Truck as Car + False Positive Car</t>
        </is>
      </c>
    </row>
    <row r="145" ht="17" customHeight="1" s="26">
      <c r="A145" s="33" t="n"/>
      <c r="B145" s="33" t="n"/>
      <c r="C145" s="33" t="n"/>
      <c r="D145" s="33" t="n"/>
      <c r="E145" s="33" t="n"/>
      <c r="F145" s="33" t="n"/>
      <c r="G145" s="33" t="n"/>
    </row>
    <row r="146" ht="69" customHeight="1" s="26">
      <c r="A146" s="27" t="inlineStr">
        <is>
          <t>18_2026-03-12_05-37-56</t>
        </is>
      </c>
      <c r="B146" s="27" t="inlineStr">
        <is>
          <t>1773294158804_1773294178704</t>
        </is>
      </c>
      <c r="C146" s="27" t="inlineStr">
        <is>
          <t>1773294176804 - 1773294177704</t>
        </is>
      </c>
      <c r="D146" s="32">
        <f>IMAGE("https://liskibruh.github.io/l4_data_sheets_table_images_mapper/l4_problematic_frames/xl/media/image798.png")</f>
        <v/>
      </c>
      <c r="E146" s="32">
        <f>IMAGE("https://liskibruh.github.io/l4_data_sheets_table_images_mapper/l4_problematic_frames/xl/media/image799.png")</f>
        <v/>
      </c>
      <c r="F146" s="30" t="n"/>
      <c r="G146" s="27" t="inlineStr">
        <is>
          <t>Misoriented Direction of Truck + False Positive Truck</t>
        </is>
      </c>
    </row>
    <row r="147" ht="17" customHeight="1" s="26">
      <c r="A147" s="33" t="n"/>
      <c r="B147" s="33" t="n"/>
      <c r="C147" s="33" t="n"/>
      <c r="D147" s="33" t="n"/>
      <c r="E147" s="33" t="n"/>
      <c r="F147" s="33" t="n"/>
      <c r="G147" s="33" t="n"/>
    </row>
    <row r="148" ht="98" customHeight="1" s="26">
      <c r="A148" s="27" t="inlineStr">
        <is>
          <t>18_2026-03-12_05-37-56</t>
        </is>
      </c>
      <c r="B148" s="27" t="inlineStr">
        <is>
          <t>1773294158804_1773294178704 and 1773294178804_1773294198704</t>
        </is>
      </c>
      <c r="C148" s="27" t="inlineStr">
        <is>
          <t>1773294177804 - 1773294179705</t>
        </is>
      </c>
      <c r="D148" s="32">
        <f>IMAGE("https://liskibruh.github.io/l4_data_sheets_table_images_mapper/l4_problematic_frames/xl/media/image800.png")</f>
        <v/>
      </c>
      <c r="E148" s="32">
        <f>IMAGE("https://liskibruh.github.io/l4_data_sheets_table_images_mapper/l4_problematic_frames/xl/media/image801.png")</f>
        <v/>
      </c>
      <c r="F148" s="30" t="n"/>
      <c r="G148" s="27" t="inlineStr">
        <is>
          <t>Missing Truck</t>
        </is>
      </c>
    </row>
    <row r="149" ht="17" customHeight="1" s="26">
      <c r="A149" s="33" t="n"/>
      <c r="B149" s="33" t="n"/>
      <c r="C149" s="33" t="n"/>
      <c r="D149" s="33" t="n"/>
      <c r="E149" s="33" t="n"/>
      <c r="F149" s="33" t="n"/>
      <c r="G149" s="33" t="n"/>
    </row>
    <row r="150" ht="41" customHeight="1" s="26">
      <c r="A150" s="27" t="inlineStr">
        <is>
          <t>18_2026-03-12_05-37-56</t>
        </is>
      </c>
      <c r="B150" s="27" t="inlineStr">
        <is>
          <t>1773294178804_1773294198704</t>
        </is>
      </c>
      <c r="C150" s="27" t="inlineStr">
        <is>
          <t>1773294180905 - 1773294181805</t>
        </is>
      </c>
      <c r="D150" s="32">
        <f>IMAGE("https://liskibruh.github.io/l4_data_sheets_table_images_mapper/l4_problematic_frames/xl/media/image802.png")</f>
        <v/>
      </c>
      <c r="E150" s="32">
        <f>IMAGE("https://liskibruh.github.io/l4_data_sheets_table_images_mapper/l4_problematic_frames/xl/media/image803.png")</f>
        <v/>
      </c>
      <c r="F150" s="30" t="n"/>
      <c r="G150" s="27" t="inlineStr">
        <is>
          <t>Misoriented Direction of Truck</t>
        </is>
      </c>
    </row>
    <row r="151" ht="17" customHeight="1" s="26">
      <c r="A151" s="33" t="n"/>
      <c r="B151" s="33" t="n"/>
      <c r="C151" s="33" t="n"/>
      <c r="D151" s="33" t="n"/>
      <c r="E151" s="33" t="n"/>
      <c r="F151" s="33" t="n"/>
      <c r="G151" s="33" t="n"/>
    </row>
    <row r="152" ht="84" customHeight="1" s="26">
      <c r="A152" s="27" t="inlineStr">
        <is>
          <t>18_2026-03-12_05-37-56</t>
        </is>
      </c>
      <c r="B152" s="27" t="inlineStr">
        <is>
          <t>1773294178804_1773294198704</t>
        </is>
      </c>
      <c r="C152" s="27" t="inlineStr">
        <is>
          <t>1773294182904 - 1773294183804</t>
        </is>
      </c>
      <c r="D152" s="32">
        <f>IMAGE("https://liskibruh.github.io/l4_data_sheets_table_images_mapper/l4_problematic_frames/xl/media/image804.png")</f>
        <v/>
      </c>
      <c r="E152" s="32">
        <f>IMAGE("https://liskibruh.github.io/l4_data_sheets_table_images_mapper/l4_problematic_frames/xl/media/image805.png")</f>
        <v/>
      </c>
      <c r="F152" s="30" t="n"/>
      <c r="G152" s="27" t="inlineStr">
        <is>
          <t>Misclassification of Pedestrians as Car + Misoriented Direction of Truck</t>
        </is>
      </c>
    </row>
    <row r="153" ht="17" customHeight="1" s="26">
      <c r="A153" s="33" t="n"/>
      <c r="B153" s="33" t="n"/>
      <c r="C153" s="33" t="n"/>
      <c r="D153" s="33" t="n"/>
      <c r="E153" s="33" t="n"/>
      <c r="F153" s="33" t="n"/>
      <c r="G153" s="33" t="n"/>
    </row>
    <row r="154" ht="41" customHeight="1" s="26">
      <c r="A154" s="27" t="inlineStr">
        <is>
          <t>18_2026-03-12_05-37-56</t>
        </is>
      </c>
      <c r="B154" s="27" t="inlineStr">
        <is>
          <t>1773294178804_1773294198704</t>
        </is>
      </c>
      <c r="C154" s="27" t="inlineStr">
        <is>
          <t>1773294183904 - 1773294184804</t>
        </is>
      </c>
      <c r="D154" s="32">
        <f>IMAGE("https://liskibruh.github.io/l4_data_sheets_table_images_mapper/l4_problematic_frames/xl/media/image806.png")</f>
        <v/>
      </c>
      <c r="E154" s="32">
        <f>IMAGE("https://liskibruh.github.io/l4_data_sheets_table_images_mapper/l4_problematic_frames/xl/media/image807.png")</f>
        <v/>
      </c>
      <c r="F154" s="30" t="n"/>
      <c r="G154" s="27" t="inlineStr">
        <is>
          <t>Misclassification of Pedestrians as Truck</t>
        </is>
      </c>
    </row>
    <row r="155" ht="17" customHeight="1" s="26">
      <c r="A155" s="33" t="n"/>
      <c r="B155" s="33" t="n"/>
      <c r="C155" s="33" t="n"/>
      <c r="D155" s="33" t="n"/>
      <c r="E155" s="33" t="n"/>
      <c r="F155" s="33" t="n"/>
      <c r="G155" s="33" t="n"/>
    </row>
    <row r="156" ht="112" customHeight="1" s="26">
      <c r="A156" s="27" t="inlineStr">
        <is>
          <t>18_2026-03-12_05-37-56</t>
        </is>
      </c>
      <c r="B156" s="27" t="inlineStr">
        <is>
          <t>1773294178804_1773294198704</t>
        </is>
      </c>
      <c r="C156" s="27" t="inlineStr">
        <is>
          <t>1773294186905 - 1773294187805</t>
        </is>
      </c>
      <c r="D156" s="32">
        <f>IMAGE("https://liskibruh.github.io/l4_data_sheets_table_images_mapper/l4_problematic_frames/xl/media/image808.png")</f>
        <v/>
      </c>
      <c r="E156" s="32">
        <f>IMAGE("https://liskibruh.github.io/l4_data_sheets_table_images_mapper/l4_problematic_frames/xl/media/image809.png")</f>
        <v/>
      </c>
      <c r="F156" s="30" t="n"/>
      <c r="G156" s="27" t="inlineStr">
        <is>
          <t>Misclassification of Truck as Cars + Misclassification of Pedestrians as Static Objects</t>
        </is>
      </c>
    </row>
    <row r="157" ht="17" customHeight="1" s="26">
      <c r="A157" s="33" t="n"/>
      <c r="B157" s="33" t="n"/>
      <c r="C157" s="33" t="n"/>
      <c r="D157" s="33" t="n"/>
      <c r="E157" s="33" t="n"/>
      <c r="F157" s="33" t="n"/>
      <c r="G157" s="33" t="n"/>
    </row>
    <row r="158" ht="98" customHeight="1" s="26">
      <c r="A158" s="27" t="inlineStr">
        <is>
          <t>18_2026-03-12_05-37-56</t>
        </is>
      </c>
      <c r="B158" s="27" t="inlineStr">
        <is>
          <t>1773294178804_1773294198704</t>
        </is>
      </c>
      <c r="C158" s="27" t="inlineStr">
        <is>
          <t>1773294187905 - 1773294188805, 1773294189904 - 1773294193204</t>
        </is>
      </c>
      <c r="D158" s="32">
        <f>IMAGE("https://liskibruh.github.io/l4_data_sheets_table_images_mapper/l4_problematic_frames/xl/media/image810.png")</f>
        <v/>
      </c>
      <c r="E158" s="32">
        <f>IMAGE("https://liskibruh.github.io/l4_data_sheets_table_images_mapper/l4_problematic_frames/xl/media/image811.png")</f>
        <v/>
      </c>
      <c r="F158" s="30" t="n"/>
      <c r="G158" s="27" t="inlineStr">
        <is>
          <t>Misoriented Direction of Truck</t>
        </is>
      </c>
    </row>
    <row r="159" ht="17" customHeight="1" s="26">
      <c r="A159" s="33" t="n"/>
      <c r="B159" s="33" t="n"/>
      <c r="C159" s="33" t="n"/>
      <c r="D159" s="33" t="n"/>
      <c r="E159" s="33" t="n"/>
      <c r="F159" s="33" t="n"/>
      <c r="G159" s="33" t="n"/>
    </row>
    <row r="160" ht="41" customHeight="1" s="26">
      <c r="A160" s="27" t="inlineStr">
        <is>
          <t>18_2026-03-12_05-37-56</t>
        </is>
      </c>
      <c r="B160" s="27" t="inlineStr">
        <is>
          <t>1773294178804_1773294198704</t>
        </is>
      </c>
      <c r="C160" s="27" t="inlineStr">
        <is>
          <t>1773294193304 - 1773294194404</t>
        </is>
      </c>
      <c r="D160" s="32">
        <f>IMAGE("https://liskibruh.github.io/l4_data_sheets_table_images_mapper/l4_problematic_frames/xl/media/image812.png")</f>
        <v/>
      </c>
      <c r="E160" s="32">
        <f>IMAGE("https://liskibruh.github.io/l4_data_sheets_table_images_mapper/l4_problematic_frames/xl/media/image813.png")</f>
        <v/>
      </c>
      <c r="F160" s="30" t="n"/>
      <c r="G160" s="27" t="inlineStr">
        <is>
          <t>Misclassification of Truck as Car</t>
        </is>
      </c>
    </row>
    <row r="161" ht="17" customHeight="1" s="26">
      <c r="A161" s="33" t="n"/>
      <c r="B161" s="33" t="n"/>
      <c r="C161" s="33" t="n"/>
      <c r="D161" s="33" t="n"/>
      <c r="E161" s="33" t="n"/>
      <c r="F161" s="33" t="n"/>
      <c r="G161" s="33" t="n"/>
    </row>
    <row r="162" ht="41" customHeight="1" s="26">
      <c r="A162" s="27" t="inlineStr">
        <is>
          <t>18_2026-03-12_05-37-56</t>
        </is>
      </c>
      <c r="B162" s="27" t="inlineStr">
        <is>
          <t>1773294178804_1773294198704</t>
        </is>
      </c>
      <c r="C162" s="27" t="inlineStr">
        <is>
          <t>1773294194605 - 1773294195805</t>
        </is>
      </c>
      <c r="D162" s="32">
        <f>IMAGE("https://liskibruh.github.io/l4_data_sheets_table_images_mapper/l4_problematic_frames/xl/media/image814.png")</f>
        <v/>
      </c>
      <c r="E162" s="32">
        <f>IMAGE("https://liskibruh.github.io/l4_data_sheets_table_images_mapper/l4_problematic_frames/xl/media/image815.png")</f>
        <v/>
      </c>
      <c r="F162" s="30" t="n"/>
      <c r="G162" s="27" t="inlineStr">
        <is>
          <t>False Positive Pedestrians</t>
        </is>
      </c>
    </row>
    <row r="163" ht="17" customHeight="1" s="26">
      <c r="A163" s="33" t="n"/>
      <c r="B163" s="33" t="n"/>
      <c r="C163" s="33" t="n"/>
      <c r="D163" s="33" t="n"/>
      <c r="E163" s="33" t="n"/>
      <c r="F163" s="33" t="n"/>
      <c r="G163" s="33" t="n"/>
    </row>
    <row r="164" ht="126" customHeight="1" s="26">
      <c r="A164" s="27" t="inlineStr">
        <is>
          <t>18_2026-03-12_05-37-56</t>
        </is>
      </c>
      <c r="B164" s="27" t="inlineStr">
        <is>
          <t>1773294178804_1773294198704</t>
        </is>
      </c>
      <c r="C164" s="27" t="inlineStr">
        <is>
          <t>1773294196805, 1773294197305, 1773294197704, 1773294197904, 1773294198305</t>
        </is>
      </c>
      <c r="D164" s="32">
        <f>IMAGE("https://liskibruh.github.io/l4_data_sheets_table_images_mapper/l4_problematic_frames/xl/media/image816.png")</f>
        <v/>
      </c>
      <c r="E164" s="32">
        <f>IMAGE("https://liskibruh.github.io/l4_data_sheets_table_images_mapper/l4_problematic_frames/xl/media/image817.png")</f>
        <v/>
      </c>
      <c r="F164" s="30" t="n"/>
      <c r="G164" s="27" t="inlineStr">
        <is>
          <t>Missing Pedestrian</t>
        </is>
      </c>
    </row>
    <row r="165" ht="17" customHeight="1" s="26">
      <c r="A165" s="33" t="n"/>
      <c r="B165" s="33" t="n"/>
      <c r="C165" s="33" t="n"/>
      <c r="D165" s="33" t="n"/>
      <c r="E165" s="33" t="n"/>
      <c r="F165" s="33" t="n"/>
      <c r="G165" s="33" t="n"/>
    </row>
    <row r="166" ht="41" customHeight="1" s="26">
      <c r="A166" s="27" t="inlineStr">
        <is>
          <t>18_2026-03-12_05-44-12</t>
        </is>
      </c>
      <c r="B166" s="27" t="inlineStr">
        <is>
          <t>1773294254100_1773294273303</t>
        </is>
      </c>
      <c r="C166" s="27" t="inlineStr">
        <is>
          <t>1773294257800 - 1773294263500</t>
        </is>
      </c>
      <c r="D166" s="32">
        <f>IMAGE("https://liskibruh.github.io/l4_data_sheets_table_images_mapper/l4_problematic_frames/xl/media/image818.png")</f>
        <v/>
      </c>
      <c r="E166" s="32">
        <f>IMAGE("https://liskibruh.github.io/l4_data_sheets_table_images_mapper/l4_problematic_frames/xl/media/image819.png")</f>
        <v/>
      </c>
      <c r="F166" s="30" t="n"/>
      <c r="G166" s="27" t="inlineStr">
        <is>
          <t>Misclassification of Truck as Car</t>
        </is>
      </c>
    </row>
    <row r="167" ht="17" customHeight="1" s="26">
      <c r="A167" s="33" t="n"/>
      <c r="B167" s="33" t="n"/>
      <c r="C167" s="33" t="n"/>
      <c r="D167" s="33" t="n"/>
      <c r="E167" s="33" t="n"/>
      <c r="F167" s="33" t="n"/>
      <c r="G167" s="33" t="n"/>
    </row>
    <row r="168" ht="69" customHeight="1" s="26">
      <c r="A168" s="27" t="inlineStr">
        <is>
          <t>18_2026-03-12_05-44-12</t>
        </is>
      </c>
      <c r="B168" s="27" t="inlineStr">
        <is>
          <t>1773294274203_1773294294105</t>
        </is>
      </c>
      <c r="C168" s="27" t="inlineStr">
        <is>
          <t>1773294291805, 1773294292104 - 1773294293505</t>
        </is>
      </c>
      <c r="D168" s="32">
        <f>IMAGE("https://liskibruh.github.io/l4_data_sheets_table_images_mapper/l4_problematic_frames/xl/media/image820.png")</f>
        <v/>
      </c>
      <c r="E168" s="32">
        <f>IMAGE("https://liskibruh.github.io/l4_data_sheets_table_images_mapper/l4_problematic_frames/xl/media/image821.png")</f>
        <v/>
      </c>
      <c r="F168" s="30" t="n"/>
      <c r="G168" s="27" t="inlineStr">
        <is>
          <t>Missing Car</t>
        </is>
      </c>
    </row>
    <row r="169" ht="17" customHeight="1" s="26">
      <c r="A169" s="33" t="n"/>
      <c r="B169" s="33" t="n"/>
      <c r="C169" s="33" t="n"/>
      <c r="D169" s="33" t="n"/>
      <c r="E169" s="33" t="n"/>
      <c r="F169" s="33" t="n"/>
      <c r="G169" s="33" t="n"/>
    </row>
    <row r="170" ht="41" customHeight="1" s="26">
      <c r="A170" s="27" t="inlineStr">
        <is>
          <t>18_2026-03-12_05-44-12</t>
        </is>
      </c>
      <c r="B170" s="27" t="inlineStr">
        <is>
          <t>1773294294305_1773294314304</t>
        </is>
      </c>
      <c r="C170" s="27" t="inlineStr">
        <is>
          <t>1773294301505 - 1773294302305</t>
        </is>
      </c>
      <c r="D170" s="32">
        <f>IMAGE("https://liskibruh.github.io/l4_data_sheets_table_images_mapper/l4_problematic_frames/xl/media/image822.png")</f>
        <v/>
      </c>
      <c r="E170" s="32">
        <f>IMAGE("https://liskibruh.github.io/l4_data_sheets_table_images_mapper/l4_problematic_frames/xl/media/image823.png")</f>
        <v/>
      </c>
      <c r="F170" s="30" t="n"/>
      <c r="G170" s="27" t="inlineStr">
        <is>
          <t>False Positive Car</t>
        </is>
      </c>
    </row>
    <row r="171" ht="17" customHeight="1" s="26">
      <c r="A171" s="33" t="n"/>
      <c r="B171" s="33" t="n"/>
      <c r="C171" s="33" t="n"/>
      <c r="D171" s="33" t="n"/>
      <c r="E171" s="33" t="n"/>
      <c r="F171" s="33" t="n"/>
      <c r="G171" s="33" t="n"/>
    </row>
    <row r="172" ht="41" customHeight="1" s="26">
      <c r="A172" s="27" t="inlineStr">
        <is>
          <t>18_2026-03-12_05-44-12</t>
        </is>
      </c>
      <c r="B172" s="27" t="inlineStr">
        <is>
          <t>1773294294305_1773294314304</t>
        </is>
      </c>
      <c r="C172" s="27" t="inlineStr">
        <is>
          <t>1773294302405 - 1773294303504</t>
        </is>
      </c>
      <c r="D172" s="32">
        <f>IMAGE("https://liskibruh.github.io/l4_data_sheets_table_images_mapper/l4_problematic_frames/xl/media/image824.png")</f>
        <v/>
      </c>
      <c r="E172" s="32">
        <f>IMAGE("https://liskibruh.github.io/l4_data_sheets_table_images_mapper/l4_problematic_frames/xl/media/image825.png")</f>
        <v/>
      </c>
      <c r="F172" s="30" t="n"/>
      <c r="G172" s="27" t="inlineStr">
        <is>
          <t>Misclassification of Truck as Car</t>
        </is>
      </c>
    </row>
    <row r="173" ht="17" customHeight="1" s="26">
      <c r="A173" s="33" t="n"/>
      <c r="B173" s="33" t="n"/>
      <c r="C173" s="33" t="n"/>
      <c r="D173" s="33" t="n"/>
      <c r="E173" s="33" t="n"/>
      <c r="F173" s="33" t="n"/>
      <c r="G173" s="33" t="n"/>
    </row>
    <row r="174" ht="69" customHeight="1" s="26">
      <c r="A174" s="27" t="inlineStr">
        <is>
          <t>18_2026-03-12_05-44-12</t>
        </is>
      </c>
      <c r="B174" s="27" t="inlineStr">
        <is>
          <t>1773294294305_1773294314304</t>
        </is>
      </c>
      <c r="C174" s="27" t="inlineStr">
        <is>
          <t>1773294304804 - 1773294307304</t>
        </is>
      </c>
      <c r="D174" s="32">
        <f>IMAGE("https://liskibruh.github.io/l4_data_sheets_table_images_mapper/l4_problematic_frames/xl/media/image826.png")</f>
        <v/>
      </c>
      <c r="E174" s="32">
        <f>IMAGE("https://liskibruh.github.io/l4_data_sheets_table_images_mapper/l4_problematic_frames/xl/media/image827.png")</f>
        <v/>
      </c>
      <c r="F174" s="32">
        <f>IMAGE("https://liskibruh.github.io/l4_data_sheets_table_images_mapper/l4_problematic_frames/xl/media/image828.png")</f>
        <v/>
      </c>
      <c r="G174" s="27" t="inlineStr">
        <is>
          <t>False Positive Truck + False Positive Car</t>
        </is>
      </c>
    </row>
    <row r="175" ht="17" customHeight="1" s="26">
      <c r="A175" s="33" t="n"/>
      <c r="B175" s="33" t="n"/>
      <c r="C175" s="33" t="n"/>
      <c r="D175" s="33" t="n"/>
      <c r="E175" s="33" t="n"/>
      <c r="F175" s="33" t="n"/>
      <c r="G175" s="33" t="n"/>
    </row>
    <row r="176" ht="41" customHeight="1" s="26">
      <c r="A176" s="27" t="inlineStr">
        <is>
          <t>18_2026-03-12_05-44-12</t>
        </is>
      </c>
      <c r="B176" s="27" t="inlineStr">
        <is>
          <t>1773294294305_1773294314304</t>
        </is>
      </c>
      <c r="C176" s="27" t="inlineStr">
        <is>
          <t>1773294308605 - 1773294309704</t>
        </is>
      </c>
      <c r="D176" s="32">
        <f>IMAGE("https://liskibruh.github.io/l4_data_sheets_table_images_mapper/l4_problematic_frames/xl/media/image829.png")</f>
        <v/>
      </c>
      <c r="E176" s="32">
        <f>IMAGE("https://liskibruh.github.io/l4_data_sheets_table_images_mapper/l4_problematic_frames/xl/media/image830.png")</f>
        <v/>
      </c>
      <c r="F176" s="30" t="n"/>
      <c r="G176" s="27" t="inlineStr">
        <is>
          <t>Misoriented Direction of Car</t>
        </is>
      </c>
    </row>
    <row r="177" ht="17" customHeight="1" s="26">
      <c r="A177" s="33" t="n"/>
      <c r="B177" s="33" t="n"/>
      <c r="C177" s="33" t="n"/>
      <c r="D177" s="33" t="n"/>
      <c r="E177" s="33" t="n"/>
      <c r="F177" s="33" t="n"/>
      <c r="G177" s="33" t="n"/>
    </row>
    <row r="178" ht="41" customHeight="1" s="26">
      <c r="A178" s="27" t="inlineStr">
        <is>
          <t>18_2026-03-12_05-44-12</t>
        </is>
      </c>
      <c r="B178" s="27" t="inlineStr">
        <is>
          <t>1773294294305_1773294314304</t>
        </is>
      </c>
      <c r="C178" s="27" t="inlineStr">
        <is>
          <t>1773294310904 - 1773294313704</t>
        </is>
      </c>
      <c r="D178" s="32">
        <f>IMAGE("https://liskibruh.github.io/l4_data_sheets_table_images_mapper/l4_problematic_frames/xl/media/image831.png")</f>
        <v/>
      </c>
      <c r="E178" s="32">
        <f>IMAGE("https://liskibruh.github.io/l4_data_sheets_table_images_mapper/l4_problematic_frames/xl/media/image832.png")</f>
        <v/>
      </c>
      <c r="F178" s="30" t="n"/>
      <c r="G178" s="27" t="inlineStr">
        <is>
          <t>Misclassification of Truck as Car</t>
        </is>
      </c>
    </row>
    <row r="179" ht="17" customHeight="1" s="26">
      <c r="A179" s="33" t="n"/>
      <c r="B179" s="33" t="n"/>
      <c r="C179" s="33" t="n"/>
      <c r="D179" s="33" t="n"/>
      <c r="E179" s="33" t="n"/>
      <c r="F179" s="33" t="n"/>
      <c r="G179" s="33" t="n"/>
    </row>
    <row r="180" ht="41" customHeight="1" s="26">
      <c r="A180" s="27" t="inlineStr">
        <is>
          <t>18_2026-03-12_05-44-12</t>
        </is>
      </c>
      <c r="B180" s="27" t="inlineStr">
        <is>
          <t>1773294314505_1773294334504</t>
        </is>
      </c>
      <c r="C180" s="27" t="inlineStr">
        <is>
          <t>1773294320905 - 1773294324604</t>
        </is>
      </c>
      <c r="D180" s="32">
        <f>IMAGE("https://liskibruh.github.io/l4_data_sheets_table_images_mapper/l4_problematic_frames/xl/media/image833.png")</f>
        <v/>
      </c>
      <c r="E180" s="32">
        <f>IMAGE("https://liskibruh.github.io/l4_data_sheets_table_images_mapper/l4_problematic_frames/xl/media/image834.png")</f>
        <v/>
      </c>
      <c r="F180" s="30" t="n"/>
      <c r="G180" s="27" t="inlineStr">
        <is>
          <t>Misclassification of Trucks as Cars</t>
        </is>
      </c>
    </row>
    <row r="181" ht="17" customHeight="1" s="26">
      <c r="A181" s="33" t="n"/>
      <c r="B181" s="33" t="n"/>
      <c r="C181" s="33" t="n"/>
      <c r="D181" s="33" t="n"/>
      <c r="E181" s="33" t="n"/>
      <c r="F181" s="33" t="n"/>
      <c r="G181" s="33" t="n"/>
    </row>
    <row r="182" ht="183" customHeight="1" s="26">
      <c r="A182" s="27" t="inlineStr">
        <is>
          <t>18_2026-03-12_05-44-12</t>
        </is>
      </c>
      <c r="B182" s="27" t="inlineStr">
        <is>
          <t>1773294314505_1773294334504</t>
        </is>
      </c>
      <c r="C182" s="27" t="inlineStr">
        <is>
          <t>1773294331305, 1773294331405, 1773294331505, 1773294331705, 1773294331904, 1773294332005, 1773294332105</t>
        </is>
      </c>
      <c r="D182" s="32">
        <f>IMAGE("https://liskibruh.github.io/l4_data_sheets_table_images_mapper/l4_problematic_frames/xl/media/image835.png")</f>
        <v/>
      </c>
      <c r="E182" s="32">
        <f>IMAGE("https://liskibruh.github.io/l4_data_sheets_table_images_mapper/l4_problematic_frames/xl/media/image836.png")</f>
        <v/>
      </c>
      <c r="F182" s="30" t="n"/>
      <c r="G182" s="27" t="inlineStr">
        <is>
          <t>False Positive Truck</t>
        </is>
      </c>
    </row>
    <row r="183" ht="17" customHeight="1" s="26">
      <c r="A183" s="33" t="n"/>
      <c r="B183" s="33" t="n"/>
      <c r="C183" s="33" t="n"/>
      <c r="D183" s="33" t="n"/>
      <c r="E183" s="33" t="n"/>
      <c r="F183" s="33" t="n"/>
      <c r="G183" s="33" t="n"/>
    </row>
    <row r="184" ht="55" customHeight="1" s="26">
      <c r="A184" s="27" t="inlineStr">
        <is>
          <t>18_2026-03-12_05-44-12</t>
        </is>
      </c>
      <c r="B184" s="27" t="inlineStr">
        <is>
          <t>1773294334604_1773294354505</t>
        </is>
      </c>
      <c r="C184" s="27" t="inlineStr">
        <is>
          <t>1773294334604 - 1773294335804</t>
        </is>
      </c>
      <c r="D184" s="32">
        <f>IMAGE("https://liskibruh.github.io/l4_data_sheets_table_images_mapper/l4_problematic_frames/xl/media/image837.png")</f>
        <v/>
      </c>
      <c r="E184" s="32">
        <f>IMAGE("https://liskibruh.github.io/l4_data_sheets_table_images_mapper/l4_problematic_frames/xl/media/image838.png")</f>
        <v/>
      </c>
      <c r="F184" s="30" t="n"/>
      <c r="G184" s="27" t="inlineStr">
        <is>
          <t>Missing Pedestrian/ Missing Static Object</t>
        </is>
      </c>
    </row>
    <row r="185" ht="17" customHeight="1" s="26">
      <c r="A185" s="33" t="n"/>
      <c r="B185" s="33" t="n"/>
      <c r="C185" s="33" t="n"/>
      <c r="D185" s="33" t="n"/>
      <c r="E185" s="33" t="n"/>
      <c r="F185" s="33" t="n"/>
      <c r="G185" s="33" t="n"/>
    </row>
    <row r="186" ht="55" customHeight="1" s="26">
      <c r="A186" s="27" t="inlineStr">
        <is>
          <t>18_2026-03-12_05-44-12</t>
        </is>
      </c>
      <c r="B186" s="27" t="inlineStr">
        <is>
          <t>1773294334604_1773294354505</t>
        </is>
      </c>
      <c r="C186" s="27" t="inlineStr">
        <is>
          <t>1773294336604 - 1773294339005</t>
        </is>
      </c>
      <c r="D186" s="32">
        <f>IMAGE("https://liskibruh.github.io/l4_data_sheets_table_images_mapper/l4_problematic_frames/xl/media/image839.png")</f>
        <v/>
      </c>
      <c r="E186" s="32">
        <f>IMAGE("https://liskibruh.github.io/l4_data_sheets_table_images_mapper/l4_problematic_frames/xl/media/image840.png")</f>
        <v/>
      </c>
      <c r="F186" s="30" t="n"/>
      <c r="G186" s="27" t="inlineStr">
        <is>
          <t>Miclassification of Static Objects as Car</t>
        </is>
      </c>
    </row>
    <row r="187" ht="17" customHeight="1" s="26">
      <c r="A187" s="33" t="n"/>
      <c r="B187" s="33" t="n"/>
      <c r="C187" s="33" t="n"/>
      <c r="D187" s="33" t="n"/>
      <c r="E187" s="33" t="n"/>
      <c r="F187" s="33" t="n"/>
      <c r="G187" s="33" t="n"/>
    </row>
    <row r="188" ht="69" customHeight="1" s="26">
      <c r="A188" s="27" t="inlineStr">
        <is>
          <t>18_2026-03-12_05-44-12</t>
        </is>
      </c>
      <c r="B188" s="27" t="inlineStr">
        <is>
          <t>1773294334604_1773294354505</t>
        </is>
      </c>
      <c r="C188" s="27" t="inlineStr">
        <is>
          <t>1773294341404, 1773294341804 - 1773294342404</t>
        </is>
      </c>
      <c r="D188" s="32">
        <f>IMAGE("https://liskibruh.github.io/l4_data_sheets_table_images_mapper/l4_problematic_frames/xl/media/image841.png")</f>
        <v/>
      </c>
      <c r="E188" s="32">
        <f>IMAGE("https://liskibruh.github.io/l4_data_sheets_table_images_mapper/l4_problematic_frames/xl/media/image842.png")</f>
        <v/>
      </c>
      <c r="F188" s="30" t="n"/>
      <c r="G188" s="27" t="inlineStr">
        <is>
          <t>Misclassification of Static Objects as Pedestrians</t>
        </is>
      </c>
    </row>
    <row r="189" ht="17" customHeight="1" s="26">
      <c r="A189" s="33" t="n"/>
      <c r="B189" s="33" t="n"/>
      <c r="C189" s="33" t="n"/>
      <c r="D189" s="33" t="n"/>
      <c r="E189" s="33" t="n"/>
      <c r="F189" s="33" t="n"/>
      <c r="G189" s="33" t="n"/>
    </row>
    <row r="190" ht="41" customHeight="1" s="26">
      <c r="A190" s="27" t="inlineStr">
        <is>
          <t>18_2026-03-12_05-44-12</t>
        </is>
      </c>
      <c r="B190" s="27" t="inlineStr">
        <is>
          <t>1773294334604_1773294354505</t>
        </is>
      </c>
      <c r="C190" s="27" t="inlineStr">
        <is>
          <t>1773294343404 - 1773294344104</t>
        </is>
      </c>
      <c r="D190" s="32">
        <f>IMAGE("https://liskibruh.github.io/l4_data_sheets_table_images_mapper/l4_problematic_frames/xl/media/image843.png")</f>
        <v/>
      </c>
      <c r="E190" s="32">
        <f>IMAGE("https://liskibruh.github.io/l4_data_sheets_table_images_mapper/l4_problematic_frames/xl/media/image844.png")</f>
        <v/>
      </c>
      <c r="F190" s="30" t="n"/>
      <c r="G190" s="27" t="inlineStr">
        <is>
          <t>False Positive Cars</t>
        </is>
      </c>
    </row>
    <row r="191" ht="17" customHeight="1" s="26">
      <c r="A191" s="33" t="n"/>
      <c r="B191" s="33" t="n"/>
      <c r="C191" s="33" t="n"/>
      <c r="D191" s="33" t="n"/>
      <c r="E191" s="33" t="n"/>
      <c r="F191" s="33" t="n"/>
      <c r="G191" s="33" t="n"/>
    </row>
    <row r="192" ht="41" customHeight="1" s="26">
      <c r="A192" s="27" t="inlineStr">
        <is>
          <t>18_2026-03-12_05-44-12</t>
        </is>
      </c>
      <c r="B192" s="27" t="inlineStr">
        <is>
          <t>1773294334604_1773294354505</t>
        </is>
      </c>
      <c r="C192" s="27" t="inlineStr">
        <is>
          <t>1773294349004 - 1773294350004</t>
        </is>
      </c>
      <c r="D192" s="32">
        <f>IMAGE("https://liskibruh.github.io/l4_data_sheets_table_images_mapper/l4_problematic_frames/xl/media/image845.png")</f>
        <v/>
      </c>
      <c r="E192" s="32">
        <f>IMAGE("https://liskibruh.github.io/l4_data_sheets_table_images_mapper/l4_problematic_frames/xl/media/image846.png")</f>
        <v/>
      </c>
      <c r="F192" s="30" t="n"/>
      <c r="G192" s="27" t="inlineStr">
        <is>
          <t>False Positive Static Object</t>
        </is>
      </c>
    </row>
    <row r="193" ht="17" customHeight="1" s="26">
      <c r="A193" s="33" t="n"/>
      <c r="B193" s="33" t="n"/>
      <c r="C193" s="33" t="n"/>
      <c r="D193" s="33" t="n"/>
      <c r="E193" s="33" t="n"/>
      <c r="F193" s="33" t="n"/>
      <c r="G193" s="33" t="n"/>
    </row>
    <row r="194" ht="98" customHeight="1" s="26">
      <c r="A194" s="27" t="inlineStr">
        <is>
          <t>18_2026-03-12_05-44-12</t>
        </is>
      </c>
      <c r="B194" s="27" t="inlineStr">
        <is>
          <t>1773294334604_1773294354505 and 1773294354604_1773294374505</t>
        </is>
      </c>
      <c r="C194" s="27" t="inlineStr">
        <is>
          <t>1773294353205 - 1773294355305</t>
        </is>
      </c>
      <c r="D194" s="32">
        <f>IMAGE("https://liskibruh.github.io/l4_data_sheets_table_images_mapper/l4_problematic_frames/xl/media/image847.png")</f>
        <v/>
      </c>
      <c r="E194" s="32">
        <f>IMAGE("https://liskibruh.github.io/l4_data_sheets_table_images_mapper/l4_problematic_frames/xl/media/image848.png")</f>
        <v/>
      </c>
      <c r="F194" s="30" t="n"/>
      <c r="G194" s="27" t="inlineStr">
        <is>
          <t>False Positive Trucks</t>
        </is>
      </c>
    </row>
    <row r="195" ht="17" customHeight="1" s="26">
      <c r="A195" s="33" t="n"/>
      <c r="B195" s="33" t="n"/>
      <c r="C195" s="33" t="n"/>
      <c r="D195" s="33" t="n"/>
      <c r="E195" s="33" t="n"/>
      <c r="F195" s="33" t="n"/>
      <c r="G195" s="33" t="n"/>
    </row>
    <row r="196" ht="55" customHeight="1" s="26">
      <c r="A196" s="27" t="inlineStr">
        <is>
          <t>18_2026-03-12_05-44-12</t>
        </is>
      </c>
      <c r="B196" s="27" t="inlineStr">
        <is>
          <t>1773294354604_1773294374505</t>
        </is>
      </c>
      <c r="C196" s="27" t="inlineStr">
        <is>
          <t>1773294355404 - 1773294356504</t>
        </is>
      </c>
      <c r="D196" s="32">
        <f>IMAGE("https://liskibruh.github.io/l4_data_sheets_table_images_mapper/l4_problematic_frames/xl/media/image849.png")</f>
        <v/>
      </c>
      <c r="E196" s="32">
        <f>IMAGE("https://liskibruh.github.io/l4_data_sheets_table_images_mapper/l4_problematic_frames/xl/media/image850.png")</f>
        <v/>
      </c>
      <c r="F196" s="30" t="n"/>
      <c r="G196" s="27" t="inlineStr">
        <is>
          <t>Misoriented Direction of Truck + Missing Truck</t>
        </is>
      </c>
    </row>
    <row r="197" ht="17" customHeight="1" s="26">
      <c r="A197" s="33" t="n"/>
      <c r="B197" s="33" t="n"/>
      <c r="C197" s="33" t="n"/>
      <c r="D197" s="33" t="n"/>
      <c r="E197" s="33" t="n"/>
      <c r="F197" s="33" t="n"/>
      <c r="G197" s="33" t="n"/>
    </row>
    <row r="198" ht="41" customHeight="1" s="26">
      <c r="A198" s="27" t="inlineStr">
        <is>
          <t>18_2026-03-12_05-44-12</t>
        </is>
      </c>
      <c r="B198" s="27" t="inlineStr">
        <is>
          <t>1773294354604_1773294374505</t>
        </is>
      </c>
      <c r="C198" s="27" t="inlineStr">
        <is>
          <t>1773294359505 - 1773294360305</t>
        </is>
      </c>
      <c r="D198" s="32">
        <f>IMAGE("https://liskibruh.github.io/l4_data_sheets_table_images_mapper/l4_problematic_frames/xl/media/image851.png")</f>
        <v/>
      </c>
      <c r="E198" s="32">
        <f>IMAGE("https://liskibruh.github.io/l4_data_sheets_table_images_mapper/l4_problematic_frames/xl/media/image852.png")</f>
        <v/>
      </c>
      <c r="F198" s="30" t="n"/>
      <c r="G198" s="27" t="inlineStr">
        <is>
          <t>Misoriented Direction of Truck</t>
        </is>
      </c>
    </row>
    <row r="199" ht="17" customHeight="1" s="26">
      <c r="A199" s="33" t="n"/>
      <c r="B199" s="33" t="n"/>
      <c r="C199" s="33" t="n"/>
      <c r="D199" s="33" t="n"/>
      <c r="E199" s="33" t="n"/>
      <c r="F199" s="33" t="n"/>
      <c r="G199" s="33" t="n"/>
    </row>
    <row r="200" ht="41" customHeight="1" s="26">
      <c r="A200" s="27" t="inlineStr">
        <is>
          <t>18_2026-03-12_05-44-12</t>
        </is>
      </c>
      <c r="B200" s="27" t="inlineStr">
        <is>
          <t>1773294354604_1773294374505</t>
        </is>
      </c>
      <c r="C200" s="27" t="inlineStr">
        <is>
          <t>1773294363003, 1773294372203</t>
        </is>
      </c>
      <c r="D200" s="32">
        <f>IMAGE("https://liskibruh.github.io/l4_data_sheets_table_images_mapper/l4_problematic_frames/xl/media/image853.png")</f>
        <v/>
      </c>
      <c r="E200" s="30" t="n"/>
      <c r="F200" s="30" t="n"/>
      <c r="G200" s="27" t="inlineStr">
        <is>
          <t>Missing LiDAR Points</t>
        </is>
      </c>
    </row>
    <row r="201" ht="17" customHeight="1" s="26">
      <c r="A201" s="33" t="n"/>
      <c r="B201" s="33" t="n"/>
      <c r="C201" s="33" t="n"/>
      <c r="D201" s="33" t="n"/>
      <c r="E201" s="33" t="n"/>
      <c r="F201" s="33" t="n"/>
      <c r="G201" s="33" t="n"/>
    </row>
    <row r="202" ht="55" customHeight="1" s="26">
      <c r="A202" s="27" t="inlineStr">
        <is>
          <t>18_2026-03-12_05-44-12</t>
        </is>
      </c>
      <c r="B202" s="27" t="inlineStr">
        <is>
          <t>1773294354604_1773294374505</t>
        </is>
      </c>
      <c r="C202" s="27" t="inlineStr">
        <is>
          <t>1773294373004, 1773294373905</t>
        </is>
      </c>
      <c r="D202" s="32">
        <f>IMAGE("https://liskibruh.github.io/l4_data_sheets_table_images_mapper/l4_problematic_frames/xl/media/image854.png")</f>
        <v/>
      </c>
      <c r="E202" s="32">
        <f>IMAGE("https://liskibruh.github.io/l4_data_sheets_table_images_mapper/l4_problematic_frames/xl/media/image855.png")</f>
        <v/>
      </c>
      <c r="F202" s="30" t="n"/>
      <c r="G202" s="27" t="inlineStr">
        <is>
          <t>Missing Truck/ Misoriented Direction of Truck</t>
        </is>
      </c>
    </row>
    <row r="203" ht="17" customHeight="1" s="26">
      <c r="A203" s="33" t="n"/>
      <c r="B203" s="33" t="n"/>
      <c r="C203" s="33" t="n"/>
      <c r="D203" s="33" t="n"/>
      <c r="E203" s="33" t="n"/>
      <c r="F203" s="33" t="n"/>
      <c r="G203" s="33" t="n"/>
    </row>
    <row r="204" ht="41" customHeight="1" s="26">
      <c r="A204" s="27" t="inlineStr">
        <is>
          <t>18_2026-03-12_05-44-12</t>
        </is>
      </c>
      <c r="B204" s="27" t="inlineStr">
        <is>
          <t>1773294374605_1773294394604</t>
        </is>
      </c>
      <c r="C204" s="27" t="inlineStr">
        <is>
          <t>1773294374605 - 1773294374905</t>
        </is>
      </c>
      <c r="D204" s="32">
        <f>IMAGE("https://liskibruh.github.io/l4_data_sheets_table_images_mapper/l4_problematic_frames/xl/media/image856.png")</f>
        <v/>
      </c>
      <c r="E204" s="32">
        <f>IMAGE("https://liskibruh.github.io/l4_data_sheets_table_images_mapper/l4_problematic_frames/xl/media/image857.png")</f>
        <v/>
      </c>
      <c r="F204" s="30" t="n"/>
      <c r="G204" s="27" t="inlineStr">
        <is>
          <t>False Positive Trucks</t>
        </is>
      </c>
    </row>
    <row r="205" ht="17" customHeight="1" s="26">
      <c r="A205" s="33" t="n"/>
      <c r="B205" s="33" t="n"/>
      <c r="C205" s="33" t="n"/>
      <c r="D205" s="33" t="n"/>
      <c r="E205" s="33" t="n"/>
      <c r="F205" s="33" t="n"/>
      <c r="G205" s="33" t="n"/>
    </row>
    <row r="206" ht="41" customHeight="1" s="26">
      <c r="A206" s="27" t="inlineStr">
        <is>
          <t>18_2026-03-12_05-44-12</t>
        </is>
      </c>
      <c r="B206" s="27" t="inlineStr">
        <is>
          <t>1773294374605_1773294394604</t>
        </is>
      </c>
      <c r="C206" s="27" t="n">
        <v>1773294375004</v>
      </c>
      <c r="D206" s="32">
        <f>IMAGE("https://liskibruh.github.io/l4_data_sheets_table_images_mapper/l4_problematic_frames/xl/media/image858.png")</f>
        <v/>
      </c>
      <c r="E206" s="30" t="n"/>
      <c r="F206" s="30" t="n"/>
      <c r="G206" s="27" t="inlineStr">
        <is>
          <t>Missing Truck</t>
        </is>
      </c>
    </row>
    <row r="207" ht="17" customHeight="1" s="26">
      <c r="A207" s="33" t="n"/>
      <c r="B207" s="33" t="n"/>
      <c r="C207" s="33" t="n"/>
      <c r="D207" s="33" t="n"/>
      <c r="E207" s="33" t="n"/>
      <c r="F207" s="33" t="n"/>
      <c r="G207" s="33" t="n"/>
    </row>
    <row r="208" ht="69" customHeight="1" s="26">
      <c r="A208" s="27" t="inlineStr">
        <is>
          <t>18_2026-03-12_05-44-12</t>
        </is>
      </c>
      <c r="B208" s="27" t="inlineStr">
        <is>
          <t>1773294374605_1773294394604</t>
        </is>
      </c>
      <c r="C208" s="27" t="inlineStr">
        <is>
          <t>1773294375104, 1773294375205, 1773294375305</t>
        </is>
      </c>
      <c r="D208" s="32">
        <f>IMAGE("https://liskibruh.github.io/l4_data_sheets_table_images_mapper/l4_problematic_frames/xl/media/image859.png")</f>
        <v/>
      </c>
      <c r="E208" s="32">
        <f>IMAGE("https://liskibruh.github.io/l4_data_sheets_table_images_mapper/l4_problematic_frames/xl/media/image860.png")</f>
        <v/>
      </c>
      <c r="F208" s="30" t="n"/>
      <c r="G208" s="27" t="inlineStr">
        <is>
          <t>False Positive Trucks/ Missing LiDAR Points</t>
        </is>
      </c>
    </row>
    <row r="209" ht="17" customHeight="1" s="26">
      <c r="A209" s="33" t="n"/>
      <c r="B209" s="33" t="n"/>
      <c r="C209" s="33" t="n"/>
      <c r="D209" s="33" t="n"/>
      <c r="E209" s="33" t="n"/>
      <c r="F209" s="33" t="n"/>
      <c r="G209" s="33" t="n"/>
    </row>
    <row r="210" ht="41" customHeight="1" s="26">
      <c r="A210" s="27" t="inlineStr">
        <is>
          <t>18_2026-03-12_05-44-12</t>
        </is>
      </c>
      <c r="B210" s="27" t="inlineStr">
        <is>
          <t>1773294374605_1773294394604</t>
        </is>
      </c>
      <c r="C210" s="27" t="inlineStr">
        <is>
          <t>1773294376205 - 1773294377005</t>
        </is>
      </c>
      <c r="D210" s="32">
        <f>IMAGE("https://liskibruh.github.io/l4_data_sheets_table_images_mapper/l4_problematic_frames/xl/media/image861.png")</f>
        <v/>
      </c>
      <c r="E210" s="32">
        <f>IMAGE("https://liskibruh.github.io/l4_data_sheets_table_images_mapper/l4_problematic_frames/xl/media/image862.png")</f>
        <v/>
      </c>
      <c r="F210" s="30" t="n"/>
      <c r="G210" s="27" t="inlineStr">
        <is>
          <t>Missing Truck</t>
        </is>
      </c>
    </row>
    <row r="211" ht="17" customHeight="1" s="26">
      <c r="A211" s="33" t="n"/>
      <c r="B211" s="33" t="n"/>
      <c r="C211" s="33" t="n"/>
      <c r="D211" s="33" t="n"/>
      <c r="E211" s="33" t="n"/>
      <c r="F211" s="33" t="n"/>
      <c r="G211" s="33" t="n"/>
    </row>
    <row r="212" ht="41" customHeight="1" s="26">
      <c r="A212" s="27" t="inlineStr">
        <is>
          <t>18_2026-03-12_05-44-12</t>
        </is>
      </c>
      <c r="B212" s="27" t="inlineStr">
        <is>
          <t>1773294374605_1773294394604</t>
        </is>
      </c>
      <c r="C212" s="27" t="inlineStr">
        <is>
          <t>1773294379504, 1773294380604</t>
        </is>
      </c>
      <c r="D212" s="32">
        <f>IMAGE("https://liskibruh.github.io/l4_data_sheets_table_images_mapper/l4_problematic_frames/xl/media/image863.png")</f>
        <v/>
      </c>
      <c r="E212" s="32">
        <f>IMAGE("https://liskibruh.github.io/l4_data_sheets_table_images_mapper/l4_problematic_frames/xl/media/image864.png")</f>
        <v/>
      </c>
      <c r="F212" s="30" t="n"/>
      <c r="G212" s="27" t="inlineStr">
        <is>
          <t>Missing Truck</t>
        </is>
      </c>
    </row>
    <row r="213" ht="17" customHeight="1" s="26">
      <c r="A213" s="33" t="n"/>
      <c r="B213" s="33" t="n"/>
      <c r="C213" s="33" t="n"/>
      <c r="D213" s="33" t="n"/>
      <c r="E213" s="33" t="n"/>
      <c r="F213" s="33" t="n"/>
      <c r="G213" s="33" t="n"/>
    </row>
    <row r="214" ht="41" customHeight="1" s="26">
      <c r="A214" s="27" t="inlineStr">
        <is>
          <t>18_2026-03-12_05-44-12</t>
        </is>
      </c>
      <c r="B214" s="27" t="inlineStr">
        <is>
          <t>1773294374605_1773294394604</t>
        </is>
      </c>
      <c r="C214" s="27" t="inlineStr">
        <is>
          <t>1773294390904 - 1773294391704</t>
        </is>
      </c>
      <c r="D214" s="32">
        <f>IMAGE("https://liskibruh.github.io/l4_data_sheets_table_images_mapper/l4_problematic_frames/xl/media/image865.png")</f>
        <v/>
      </c>
      <c r="E214" s="32">
        <f>IMAGE("https://liskibruh.github.io/l4_data_sheets_table_images_mapper/l4_problematic_frames/xl/media/image866.png")</f>
        <v/>
      </c>
      <c r="F214" s="30" t="n"/>
      <c r="G214" s="27" t="inlineStr">
        <is>
          <t>Missing Truck</t>
        </is>
      </c>
    </row>
    <row r="215" ht="17" customHeight="1" s="26">
      <c r="A215" s="33" t="n"/>
      <c r="B215" s="33" t="n"/>
      <c r="C215" s="33" t="n"/>
      <c r="D215" s="33" t="n"/>
      <c r="E215" s="33" t="n"/>
      <c r="F215" s="33" t="n"/>
      <c r="G215" s="33" t="n"/>
    </row>
    <row r="216" ht="41" customHeight="1" s="26">
      <c r="A216" s="27" t="inlineStr">
        <is>
          <t>18_2026-03-12_05-44-12</t>
        </is>
      </c>
      <c r="B216" s="27" t="inlineStr">
        <is>
          <t>1773294374605_1773294394604</t>
        </is>
      </c>
      <c r="C216" s="27" t="n">
        <v>1773294394003</v>
      </c>
      <c r="D216" s="32">
        <f>IMAGE("https://liskibruh.github.io/l4_data_sheets_table_images_mapper/l4_problematic_frames/xl/media/image867.png")</f>
        <v/>
      </c>
      <c r="E216" s="30" t="n"/>
      <c r="F216" s="30" t="n"/>
      <c r="G216" s="27" t="inlineStr">
        <is>
          <t>Out of Order Sample</t>
        </is>
      </c>
    </row>
    <row r="217" ht="17" customHeight="1" s="26">
      <c r="A217" s="33" t="n"/>
      <c r="B217" s="33" t="n"/>
      <c r="C217" s="33" t="n"/>
      <c r="D217" s="33" t="n"/>
      <c r="E217" s="33" t="n"/>
      <c r="F217" s="33" t="n"/>
      <c r="G217" s="33" t="n"/>
    </row>
    <row r="218" ht="41" customHeight="1" s="26">
      <c r="A218" s="27" t="inlineStr">
        <is>
          <t>18_2026-03-12_05-44-12</t>
        </is>
      </c>
      <c r="B218" s="27" t="inlineStr">
        <is>
          <t>1773294374605_1773294394604</t>
        </is>
      </c>
      <c r="C218" s="27" t="n">
        <v>1773294394503</v>
      </c>
      <c r="D218" s="32">
        <f>IMAGE("https://liskibruh.github.io/l4_data_sheets_table_images_mapper/l4_problematic_frames/xl/media/image868.png")</f>
        <v/>
      </c>
      <c r="E218" s="30" t="n"/>
      <c r="F218" s="30" t="n"/>
      <c r="G218" s="27" t="inlineStr">
        <is>
          <t>Missing LiDAR Points</t>
        </is>
      </c>
    </row>
    <row r="219" ht="17" customHeight="1" s="26">
      <c r="A219" s="33" t="n"/>
      <c r="B219" s="33" t="n"/>
      <c r="C219" s="33" t="n"/>
      <c r="D219" s="33" t="n"/>
      <c r="E219" s="33" t="n"/>
      <c r="F219" s="33" t="n"/>
      <c r="G219" s="33" t="n"/>
    </row>
    <row r="220" ht="98" customHeight="1" s="26">
      <c r="A220" s="27" t="inlineStr">
        <is>
          <t>18_2026-03-12_05-44-12</t>
        </is>
      </c>
      <c r="B220" s="27" t="inlineStr">
        <is>
          <t>1773294394704_1773294414604</t>
        </is>
      </c>
      <c r="C220" s="27" t="inlineStr">
        <is>
          <t>1773294394704 - 1773294395404, 1773294398305 - 1773294399105</t>
        </is>
      </c>
      <c r="D220" s="32">
        <f>IMAGE("https://liskibruh.github.io/l4_data_sheets_table_images_mapper/l4_problematic_frames/xl/media/image869.png")</f>
        <v/>
      </c>
      <c r="E220" s="32">
        <f>IMAGE("https://liskibruh.github.io/l4_data_sheets_table_images_mapper/l4_problematic_frames/xl/media/image870.png")</f>
        <v/>
      </c>
      <c r="F220" s="30" t="n"/>
      <c r="G220" s="27" t="inlineStr">
        <is>
          <t>Missing Truck</t>
        </is>
      </c>
    </row>
    <row r="221" ht="17" customHeight="1" s="26">
      <c r="A221" s="33" t="n"/>
      <c r="B221" s="33" t="n"/>
      <c r="C221" s="33" t="n"/>
      <c r="D221" s="33" t="n"/>
      <c r="E221" s="33" t="n"/>
      <c r="F221" s="33" t="n"/>
      <c r="G221" s="33" t="n"/>
    </row>
    <row r="222" ht="41" customHeight="1" s="26">
      <c r="A222" s="27" t="inlineStr">
        <is>
          <t>18_2026-03-12_05-44-12</t>
        </is>
      </c>
      <c r="B222" s="27" t="inlineStr">
        <is>
          <t>1773294394704_1773294414604</t>
        </is>
      </c>
      <c r="C222" s="27" t="inlineStr">
        <is>
          <t>1773294399205 - 1773294399904</t>
        </is>
      </c>
      <c r="D222" s="32">
        <f>IMAGE("https://liskibruh.github.io/l4_data_sheets_table_images_mapper/l4_problematic_frames/xl/media/image871.png")</f>
        <v/>
      </c>
      <c r="E222" s="32">
        <f>IMAGE("https://liskibruh.github.io/l4_data_sheets_table_images_mapper/l4_problematic_frames/xl/media/image872.png")</f>
        <v/>
      </c>
      <c r="F222" s="30" t="n"/>
      <c r="G222" s="27" t="inlineStr">
        <is>
          <t>False Positive Static Objects</t>
        </is>
      </c>
    </row>
    <row r="223" ht="17" customHeight="1" s="26">
      <c r="A223" s="33" t="n"/>
      <c r="B223" s="33" t="n"/>
      <c r="C223" s="33" t="n"/>
      <c r="D223" s="33" t="n"/>
      <c r="E223" s="33" t="n"/>
      <c r="F223" s="33" t="n"/>
      <c r="G223" s="33" t="n"/>
    </row>
    <row r="224" ht="98" customHeight="1" s="26">
      <c r="A224" s="27" t="inlineStr">
        <is>
          <t>18_2026-03-12_05-44-12</t>
        </is>
      </c>
      <c r="B224" s="27" t="inlineStr">
        <is>
          <t>1773294394704_1773294414604</t>
        </is>
      </c>
      <c r="C224" s="27" t="inlineStr">
        <is>
          <t>1773294401905 - 1773294402705, 1773294405604 - 1773294406304</t>
        </is>
      </c>
      <c r="D224" s="32">
        <f>IMAGE("https://liskibruh.github.io/l4_data_sheets_table_images_mapper/l4_problematic_frames/xl/media/image873.png")</f>
        <v/>
      </c>
      <c r="E224" s="32">
        <f>IMAGE("https://liskibruh.github.io/l4_data_sheets_table_images_mapper/l4_problematic_frames/xl/media/image874.png")</f>
        <v/>
      </c>
      <c r="F224" s="30" t="n"/>
      <c r="G224" s="27" t="inlineStr">
        <is>
          <t>Misoriented Direction of Truck</t>
        </is>
      </c>
    </row>
    <row r="225" ht="17" customHeight="1" s="26">
      <c r="A225" s="33" t="n"/>
      <c r="B225" s="33" t="n"/>
      <c r="C225" s="33" t="n"/>
      <c r="D225" s="33" t="n"/>
      <c r="E225" s="33" t="n"/>
      <c r="F225" s="33" t="n"/>
      <c r="G225" s="33" t="n"/>
    </row>
    <row r="226" ht="41" customHeight="1" s="26">
      <c r="A226" s="27" t="inlineStr">
        <is>
          <t>18_2026-03-12_05-44-12</t>
        </is>
      </c>
      <c r="B226" s="27" t="inlineStr">
        <is>
          <t>1773294394704_1773294414604</t>
        </is>
      </c>
      <c r="C226" s="27" t="inlineStr">
        <is>
          <t>1773294408204 - 1773294409204</t>
        </is>
      </c>
      <c r="D226" s="32">
        <f>IMAGE("https://liskibruh.github.io/l4_data_sheets_table_images_mapper/l4_problematic_frames/xl/media/image875.png")</f>
        <v/>
      </c>
      <c r="E226" s="32">
        <f>IMAGE("https://liskibruh.github.io/l4_data_sheets_table_images_mapper/l4_problematic_frames/xl/media/image876.png")</f>
        <v/>
      </c>
      <c r="F226" s="30" t="n"/>
      <c r="G226" s="27" t="inlineStr">
        <is>
          <t>Missing Truck</t>
        </is>
      </c>
    </row>
    <row r="227" ht="17" customHeight="1" s="26">
      <c r="A227" s="33" t="n"/>
      <c r="B227" s="33" t="n"/>
      <c r="C227" s="33" t="n"/>
      <c r="D227" s="33" t="n"/>
      <c r="E227" s="33" t="n"/>
      <c r="F227" s="33" t="n"/>
      <c r="G227" s="33" t="n"/>
    </row>
    <row r="228" ht="41" customHeight="1" s="26">
      <c r="A228" s="27" t="inlineStr">
        <is>
          <t>18_2026-03-12_05-44-12</t>
        </is>
      </c>
      <c r="B228" s="27" t="inlineStr">
        <is>
          <t>1773294394704_1773294414604</t>
        </is>
      </c>
      <c r="C228" s="27" t="inlineStr">
        <is>
          <t>1773294410205 - 1773294412005</t>
        </is>
      </c>
      <c r="D228" s="32">
        <f>IMAGE("https://liskibruh.github.io/l4_data_sheets_table_images_mapper/l4_problematic_frames/xl/media/image877.png")</f>
        <v/>
      </c>
      <c r="E228" s="32">
        <f>IMAGE("https://liskibruh.github.io/l4_data_sheets_table_images_mapper/l4_problematic_frames/xl/media/image878.png")</f>
        <v/>
      </c>
      <c r="F228" s="30" t="n"/>
      <c r="G228" s="27" t="inlineStr">
        <is>
          <t>Misclassification of Truck as Car</t>
        </is>
      </c>
    </row>
    <row r="229" ht="17" customHeight="1" s="26">
      <c r="A229" s="33" t="n"/>
      <c r="B229" s="33" t="n"/>
      <c r="C229" s="33" t="n"/>
      <c r="D229" s="33" t="n"/>
      <c r="E229" s="33" t="n"/>
      <c r="F229" s="33" t="n"/>
      <c r="G229" s="33" t="n"/>
    </row>
    <row r="230" ht="41" customHeight="1" s="26">
      <c r="A230" s="27" t="inlineStr">
        <is>
          <t>18_2026-03-12_05-44-12</t>
        </is>
      </c>
      <c r="B230" s="27" t="inlineStr">
        <is>
          <t>1773294394704_1773294414604</t>
        </is>
      </c>
      <c r="C230" s="27" t="inlineStr">
        <is>
          <t>1773294413703, 1773294414203</t>
        </is>
      </c>
      <c r="D230" s="32">
        <f>IMAGE("https://liskibruh.github.io/l4_data_sheets_table_images_mapper/l4_problematic_frames/xl/media/image879.png")</f>
        <v/>
      </c>
      <c r="E230" s="30" t="n"/>
      <c r="F230" s="30" t="n"/>
      <c r="G230" s="27" t="inlineStr">
        <is>
          <t>Missing LiDAR Points</t>
        </is>
      </c>
    </row>
    <row r="231" ht="17" customHeight="1" s="26">
      <c r="A231" s="33" t="n"/>
      <c r="B231" s="33" t="n"/>
      <c r="C231" s="33" t="n"/>
      <c r="D231" s="33" t="n"/>
      <c r="E231" s="33" t="n"/>
      <c r="F231" s="33" t="n"/>
      <c r="G231" s="33" t="n"/>
    </row>
    <row r="232" ht="41" customHeight="1" s="26">
      <c r="A232" s="27" t="inlineStr">
        <is>
          <t>18_2026-03-12_05-44-12</t>
        </is>
      </c>
      <c r="B232" s="27" t="inlineStr">
        <is>
          <t>1773294414805_1773294434605</t>
        </is>
      </c>
      <c r="C232" s="27" t="n">
        <v>1773294417405</v>
      </c>
      <c r="D232" s="32">
        <f>IMAGE("https://liskibruh.github.io/l4_data_sheets_table_images_mapper/l4_problematic_frames/xl/media/image880.png")</f>
        <v/>
      </c>
      <c r="E232" s="32">
        <f>IMAGE("https://liskibruh.github.io/l4_data_sheets_table_images_mapper/l4_problematic_frames/xl/media/image881.png")</f>
        <v/>
      </c>
      <c r="F232" s="30" t="n"/>
      <c r="G232" s="27" t="inlineStr">
        <is>
          <t>Missing Truck</t>
        </is>
      </c>
    </row>
    <row r="233" ht="17" customHeight="1" s="26">
      <c r="A233" s="33" t="n"/>
      <c r="B233" s="33" t="n"/>
      <c r="C233" s="33" t="n"/>
      <c r="D233" s="33" t="n"/>
      <c r="E233" s="33" t="n"/>
      <c r="F233" s="33" t="n"/>
      <c r="G233" s="33" t="n"/>
    </row>
    <row r="234" ht="41" customHeight="1" s="26">
      <c r="A234" s="27" t="inlineStr">
        <is>
          <t>18_2026-03-12_05-44-12</t>
        </is>
      </c>
      <c r="B234" s="27" t="inlineStr">
        <is>
          <t>1773294414805_1773294434605</t>
        </is>
      </c>
      <c r="C234" s="27" t="inlineStr">
        <is>
          <t>1773294422104 - 1773294423505</t>
        </is>
      </c>
      <c r="D234" s="32">
        <f>IMAGE("https://liskibruh.github.io/l4_data_sheets_table_images_mapper/l4_problematic_frames/xl/media/image882.png")</f>
        <v/>
      </c>
      <c r="E234" s="32">
        <f>IMAGE("https://liskibruh.github.io/l4_data_sheets_table_images_mapper/l4_problematic_frames/xl/media/image883.png")</f>
        <v/>
      </c>
      <c r="F234" s="30" t="n"/>
      <c r="G234" s="27" t="inlineStr">
        <is>
          <t>Missing Car</t>
        </is>
      </c>
    </row>
    <row r="235" ht="17" customHeight="1" s="26">
      <c r="A235" s="33" t="n"/>
      <c r="B235" s="33" t="n"/>
      <c r="C235" s="33" t="n"/>
      <c r="D235" s="33" t="n"/>
      <c r="E235" s="33" t="n"/>
      <c r="F235" s="33" t="n"/>
      <c r="G235" s="33" t="n"/>
    </row>
    <row r="236" ht="84" customHeight="1" s="26">
      <c r="A236" s="27" t="inlineStr">
        <is>
          <t>18_2026-03-12_05-44-12</t>
        </is>
      </c>
      <c r="B236" s="27" t="inlineStr">
        <is>
          <t>1773294414805_1773294434605</t>
        </is>
      </c>
      <c r="C236" s="27" t="inlineStr">
        <is>
          <t>1773294427404 - 1773294431005</t>
        </is>
      </c>
      <c r="D236" s="32">
        <f>IMAGE("https://liskibruh.github.io/l4_data_sheets_table_images_mapper/l4_problematic_frames/xl/media/image884.png")</f>
        <v/>
      </c>
      <c r="E236" s="32">
        <f>IMAGE("https://liskibruh.github.io/l4_data_sheets_table_images_mapper/l4_problematic_frames/xl/media/image885.png")</f>
        <v/>
      </c>
      <c r="F236" s="30" t="n"/>
      <c r="G236" s="27" t="inlineStr">
        <is>
          <t>Misclassification of Truck as Car + Misoriented Direction of Truck</t>
        </is>
      </c>
    </row>
    <row r="237" ht="17" customHeight="1" s="26">
      <c r="A237" s="33" t="n"/>
      <c r="B237" s="33" t="n"/>
      <c r="C237" s="33" t="n"/>
      <c r="D237" s="33" t="n"/>
      <c r="E237" s="33" t="n"/>
      <c r="F237" s="33" t="n"/>
      <c r="G237" s="33" t="n"/>
    </row>
    <row r="238" ht="41" customHeight="1" s="26">
      <c r="A238" s="27" t="inlineStr">
        <is>
          <t>18_2026-03-12_05-44-12</t>
        </is>
      </c>
      <c r="B238" s="27" t="inlineStr">
        <is>
          <t>1773294414805_1773294434605</t>
        </is>
      </c>
      <c r="C238" s="27" t="inlineStr">
        <is>
          <t>1773294431204 - 1773294432604</t>
        </is>
      </c>
      <c r="D238" s="32">
        <f>IMAGE("https://liskibruh.github.io/l4_data_sheets_table_images_mapper/l4_problematic_frames/xl/media/image886.png")</f>
        <v/>
      </c>
      <c r="E238" s="32">
        <f>IMAGE("https://liskibruh.github.io/l4_data_sheets_table_images_mapper/l4_problematic_frames/xl/media/image887.png")</f>
        <v/>
      </c>
      <c r="F238" s="30" t="n"/>
      <c r="G238" s="27" t="inlineStr">
        <is>
          <t>Misoriented Direction of Truck</t>
        </is>
      </c>
    </row>
    <row r="239" ht="17" customHeight="1" s="26">
      <c r="A239" s="33" t="n"/>
      <c r="B239" s="33" t="n"/>
      <c r="C239" s="33" t="n"/>
      <c r="D239" s="33" t="n"/>
      <c r="E239" s="33" t="n"/>
      <c r="F239" s="33" t="n"/>
      <c r="G239" s="33" t="n"/>
    </row>
    <row r="240" ht="41" customHeight="1" s="26">
      <c r="A240" s="27" t="inlineStr">
        <is>
          <t>18_2026-03-12_05-44-12</t>
        </is>
      </c>
      <c r="B240" s="27" t="inlineStr">
        <is>
          <t>1773294414805_1773294434605</t>
        </is>
      </c>
      <c r="C240" s="27" t="inlineStr">
        <is>
          <t>1773294432804 - 1773294434605</t>
        </is>
      </c>
      <c r="D240" s="32">
        <f>IMAGE("https://liskibruh.github.io/l4_data_sheets_table_images_mapper/l4_problematic_frames/xl/media/image888.png")</f>
        <v/>
      </c>
      <c r="E240" s="32">
        <f>IMAGE("https://liskibruh.github.io/l4_data_sheets_table_images_mapper/l4_problematic_frames/xl/media/image889.png")</f>
        <v/>
      </c>
      <c r="F240" s="30" t="n"/>
      <c r="G240" s="27" t="inlineStr">
        <is>
          <t>Misclassification of Car as Truck</t>
        </is>
      </c>
    </row>
    <row r="241" ht="17" customHeight="1" s="26">
      <c r="A241" s="33" t="n"/>
      <c r="B241" s="33" t="n"/>
      <c r="C241" s="33" t="n"/>
      <c r="D241" s="33" t="n"/>
      <c r="E241" s="33" t="n"/>
      <c r="F241" s="33" t="n"/>
      <c r="G241" s="33" t="n"/>
    </row>
    <row r="242" ht="41" customHeight="1" s="26">
      <c r="A242" s="27" t="inlineStr">
        <is>
          <t>18_2026-03-12_05-44-12</t>
        </is>
      </c>
      <c r="B242" s="27" t="inlineStr">
        <is>
          <t>1773294434805_1773294454605</t>
        </is>
      </c>
      <c r="C242" s="27" t="inlineStr">
        <is>
          <t>1773294434805 - 1773294435904</t>
        </is>
      </c>
      <c r="D242" s="32">
        <f>IMAGE("https://liskibruh.github.io/l4_data_sheets_table_images_mapper/l4_problematic_frames/xl/media/image890.png")</f>
        <v/>
      </c>
      <c r="E242" s="32">
        <f>IMAGE("https://liskibruh.github.io/l4_data_sheets_table_images_mapper/l4_problematic_frames/xl/media/image891.png")</f>
        <v/>
      </c>
      <c r="F242" s="30" t="n"/>
      <c r="G242" s="27" t="inlineStr">
        <is>
          <t>Misoriented Direction of Truck</t>
        </is>
      </c>
    </row>
    <row r="243" ht="17" customHeight="1" s="26">
      <c r="A243" s="33" t="n"/>
      <c r="B243" s="33" t="n"/>
      <c r="C243" s="33" t="n"/>
      <c r="D243" s="33" t="n"/>
      <c r="E243" s="33" t="n"/>
      <c r="F243" s="33" t="n"/>
      <c r="G243" s="33" t="n"/>
    </row>
    <row r="244" ht="41" customHeight="1" s="26">
      <c r="A244" s="27" t="inlineStr">
        <is>
          <t>18_2026-03-12_05-44-12</t>
        </is>
      </c>
      <c r="B244" s="27" t="inlineStr">
        <is>
          <t>1773294434805_1773294454605</t>
        </is>
      </c>
      <c r="C244" s="27" t="inlineStr">
        <is>
          <t>1773294438904 - 1773294440204</t>
        </is>
      </c>
      <c r="D244" s="32">
        <f>IMAGE("https://liskibruh.github.io/l4_data_sheets_table_images_mapper/l4_problematic_frames/xl/media/image892.png")</f>
        <v/>
      </c>
      <c r="E244" s="32">
        <f>IMAGE("https://liskibruh.github.io/l4_data_sheets_table_images_mapper/l4_problematic_frames/xl/media/image893.png")</f>
        <v/>
      </c>
      <c r="F244" s="30" t="n"/>
      <c r="G244" s="27" t="inlineStr">
        <is>
          <t>False Positive Truck</t>
        </is>
      </c>
    </row>
    <row r="245" ht="17" customHeight="1" s="26">
      <c r="A245" s="33" t="n"/>
      <c r="B245" s="33" t="n"/>
      <c r="C245" s="33" t="n"/>
      <c r="D245" s="33" t="n"/>
      <c r="E245" s="33" t="n"/>
      <c r="F245" s="33" t="n"/>
      <c r="G245" s="33" t="n"/>
    </row>
    <row r="246" ht="41" customHeight="1" s="26">
      <c r="A246" s="27" t="inlineStr">
        <is>
          <t>18_2026-03-12_05-44-12</t>
        </is>
      </c>
      <c r="B246" s="27" t="inlineStr">
        <is>
          <t>1773294434805_1773294454605</t>
        </is>
      </c>
      <c r="C246" s="27" t="inlineStr">
        <is>
          <t>1773294443105 - 1773294444204</t>
        </is>
      </c>
      <c r="D246" s="32">
        <f>IMAGE("https://liskibruh.github.io/l4_data_sheets_table_images_mapper/l4_problematic_frames/xl/media/image894.png")</f>
        <v/>
      </c>
      <c r="E246" s="32">
        <f>IMAGE("https://liskibruh.github.io/l4_data_sheets_table_images_mapper/l4_problematic_frames/xl/media/image895.png")</f>
        <v/>
      </c>
      <c r="F246" s="30" t="n"/>
      <c r="G246" s="27" t="inlineStr">
        <is>
          <t>Misclassification of Truck as Car</t>
        </is>
      </c>
    </row>
    <row r="247" ht="17" customHeight="1" s="26">
      <c r="A247" s="33" t="n"/>
      <c r="B247" s="33" t="n"/>
      <c r="C247" s="33" t="n"/>
      <c r="D247" s="33" t="n"/>
      <c r="E247" s="33" t="n"/>
      <c r="F247" s="33" t="n"/>
      <c r="G247" s="33" t="n"/>
    </row>
    <row r="248" ht="98" customHeight="1" s="26">
      <c r="A248" s="27" t="inlineStr">
        <is>
          <t>18_2026-03-12_05-44-12</t>
        </is>
      </c>
      <c r="B248" s="27" t="inlineStr">
        <is>
          <t>1773294434805_1773294454605</t>
        </is>
      </c>
      <c r="C248" s="27" t="inlineStr">
        <is>
          <t>1773294448105 - 1773294449405, 1773294450504 - 1773294451504</t>
        </is>
      </c>
      <c r="D248" s="32">
        <f>IMAGE("https://liskibruh.github.io/l4_data_sheets_table_images_mapper/l4_problematic_frames/xl/media/image896.png")</f>
        <v/>
      </c>
      <c r="E248" s="32">
        <f>IMAGE("https://liskibruh.github.io/l4_data_sheets_table_images_mapper/l4_problematic_frames/xl/media/image897.png")</f>
        <v/>
      </c>
      <c r="F248" s="30" t="n"/>
      <c r="G248" s="27" t="inlineStr">
        <is>
          <t>Misoriented Direction of Truck</t>
        </is>
      </c>
    </row>
    <row r="249" ht="17" customHeight="1" s="26">
      <c r="A249" s="33" t="n"/>
      <c r="B249" s="33" t="n"/>
      <c r="C249" s="33" t="n"/>
      <c r="D249" s="33" t="n"/>
      <c r="E249" s="33" t="n"/>
      <c r="F249" s="33" t="n"/>
      <c r="G249" s="33" t="n"/>
    </row>
    <row r="250" ht="41" customHeight="1" s="26">
      <c r="A250" s="4" t="inlineStr">
        <is>
          <t>18_2026-03-12_05-44-12</t>
        </is>
      </c>
      <c r="B250" s="4" t="inlineStr">
        <is>
          <t>1773294434805_1773294454605</t>
        </is>
      </c>
      <c r="C250" s="4" t="inlineStr">
        <is>
          <t>1773294451604 - 1773294452704</t>
        </is>
      </c>
      <c r="D250" s="3">
        <f>IMAGE("https://liskibruh.github.io/l4_data_sheets_table_images_mapper/l4_problematic_frames/xl/media/image898.png")</f>
        <v/>
      </c>
      <c r="E250" s="3">
        <f>IMAGE("https://liskibruh.github.io/l4_data_sheets_table_images_mapper/l4_problematic_frames/xl/media/image899.png")</f>
        <v/>
      </c>
      <c r="F250" s="1" t="n"/>
      <c r="G250" s="4" t="inlineStr">
        <is>
          <t>Missing Car</t>
        </is>
      </c>
    </row>
  </sheetData>
  <mergeCells count="869">
    <mergeCell ref="C210:C211"/>
    <mergeCell ref="F198:F199"/>
    <mergeCell ref="E88:E89"/>
    <mergeCell ref="B152:B153"/>
    <mergeCell ref="G82:G83"/>
    <mergeCell ref="B238:B239"/>
    <mergeCell ref="B42:B43"/>
    <mergeCell ref="C114:C115"/>
    <mergeCell ref="B240:B241"/>
    <mergeCell ref="C132:C133"/>
    <mergeCell ref="D16:D17"/>
    <mergeCell ref="B6:B7"/>
    <mergeCell ref="G58:G59"/>
    <mergeCell ref="D62:D63"/>
    <mergeCell ref="A188:A189"/>
    <mergeCell ref="F62:F63"/>
    <mergeCell ref="F122:F123"/>
    <mergeCell ref="C188:C189"/>
    <mergeCell ref="D18:D19"/>
    <mergeCell ref="B64:B65"/>
    <mergeCell ref="G60:G61"/>
    <mergeCell ref="F28:F29"/>
    <mergeCell ref="D64:D65"/>
    <mergeCell ref="A190:A191"/>
    <mergeCell ref="F186:F187"/>
    <mergeCell ref="E154:E155"/>
    <mergeCell ref="C190:C191"/>
    <mergeCell ref="F120:F121"/>
    <mergeCell ref="F64:F65"/>
    <mergeCell ref="G246:G247"/>
    <mergeCell ref="E12:E13"/>
    <mergeCell ref="C248:C249"/>
    <mergeCell ref="G12:G13"/>
    <mergeCell ref="E248:E249"/>
    <mergeCell ref="B184:B185"/>
    <mergeCell ref="B26:B27"/>
    <mergeCell ref="C14:C15"/>
    <mergeCell ref="E14:E15"/>
    <mergeCell ref="B140:B141"/>
    <mergeCell ref="G136:G137"/>
    <mergeCell ref="G70:G71"/>
    <mergeCell ref="D140:D141"/>
    <mergeCell ref="A70:A71"/>
    <mergeCell ref="B90:B91"/>
    <mergeCell ref="E122:E123"/>
    <mergeCell ref="A216:A217"/>
    <mergeCell ref="G178:G179"/>
    <mergeCell ref="B148:B149"/>
    <mergeCell ref="F146:F147"/>
    <mergeCell ref="G122:G123"/>
    <mergeCell ref="G78:G79"/>
    <mergeCell ref="D204:D205"/>
    <mergeCell ref="E78:E79"/>
    <mergeCell ref="A208:A209"/>
    <mergeCell ref="F204:F205"/>
    <mergeCell ref="D154:D155"/>
    <mergeCell ref="A158:A159"/>
    <mergeCell ref="A218:A219"/>
    <mergeCell ref="A74:A75"/>
    <mergeCell ref="E38:E39"/>
    <mergeCell ref="D206:D207"/>
    <mergeCell ref="A210:A211"/>
    <mergeCell ref="A46:A47"/>
    <mergeCell ref="F110:F111"/>
    <mergeCell ref="C46:C47"/>
    <mergeCell ref="D12:D13"/>
    <mergeCell ref="E46:E47"/>
    <mergeCell ref="C40:C41"/>
    <mergeCell ref="A76:A77"/>
    <mergeCell ref="C138:C139"/>
    <mergeCell ref="E40:E41"/>
    <mergeCell ref="C76:C77"/>
    <mergeCell ref="B44:B45"/>
    <mergeCell ref="G154:G155"/>
    <mergeCell ref="A140:A141"/>
    <mergeCell ref="E104:E105"/>
    <mergeCell ref="B174:B175"/>
    <mergeCell ref="B230:B231"/>
    <mergeCell ref="C140:C141"/>
    <mergeCell ref="B168:B169"/>
    <mergeCell ref="D230:D231"/>
    <mergeCell ref="E196:E197"/>
    <mergeCell ref="D168:D169"/>
    <mergeCell ref="A234:A235"/>
    <mergeCell ref="F230:F231"/>
    <mergeCell ref="B108:B109"/>
    <mergeCell ref="G104:G105"/>
    <mergeCell ref="E106:E107"/>
    <mergeCell ref="G106:G107"/>
    <mergeCell ref="B32:B33"/>
    <mergeCell ref="D232:D233"/>
    <mergeCell ref="E198:E199"/>
    <mergeCell ref="D88:D89"/>
    <mergeCell ref="G198:G199"/>
    <mergeCell ref="A92:A93"/>
    <mergeCell ref="F88:F89"/>
    <mergeCell ref="D26:D27"/>
    <mergeCell ref="F54:F55"/>
    <mergeCell ref="D90:D91"/>
    <mergeCell ref="A94:A95"/>
    <mergeCell ref="C216:C217"/>
    <mergeCell ref="D136:D137"/>
    <mergeCell ref="G126:G127"/>
    <mergeCell ref="C20:C21"/>
    <mergeCell ref="E20:E21"/>
    <mergeCell ref="F154:F155"/>
    <mergeCell ref="D80:D81"/>
    <mergeCell ref="A6:A7"/>
    <mergeCell ref="G38:G39"/>
    <mergeCell ref="C84:C85"/>
    <mergeCell ref="C22:C23"/>
    <mergeCell ref="E84:E85"/>
    <mergeCell ref="E28:E29"/>
    <mergeCell ref="B98:B99"/>
    <mergeCell ref="G28:G29"/>
    <mergeCell ref="E186:E187"/>
    <mergeCell ref="E86:E87"/>
    <mergeCell ref="G186:G187"/>
    <mergeCell ref="G142:G143"/>
    <mergeCell ref="D212:D213"/>
    <mergeCell ref="G80:G81"/>
    <mergeCell ref="A120:A121"/>
    <mergeCell ref="C36:C37"/>
    <mergeCell ref="B162:B163"/>
    <mergeCell ref="G92:G93"/>
    <mergeCell ref="E30:E31"/>
    <mergeCell ref="D162:D163"/>
    <mergeCell ref="G152:G153"/>
    <mergeCell ref="G30:G31"/>
    <mergeCell ref="D156:D157"/>
    <mergeCell ref="F156:F157"/>
    <mergeCell ref="A184:A185"/>
    <mergeCell ref="B164:B165"/>
    <mergeCell ref="G94:G95"/>
    <mergeCell ref="B20:B21"/>
    <mergeCell ref="D164:D165"/>
    <mergeCell ref="D220:D221"/>
    <mergeCell ref="D20:D21"/>
    <mergeCell ref="A224:A225"/>
    <mergeCell ref="F220:F221"/>
    <mergeCell ref="C48:C49"/>
    <mergeCell ref="C224:C225"/>
    <mergeCell ref="D14:D15"/>
    <mergeCell ref="F14:F15"/>
    <mergeCell ref="B22:B23"/>
    <mergeCell ref="D222:D223"/>
    <mergeCell ref="F222:F223"/>
    <mergeCell ref="A148:A149"/>
    <mergeCell ref="E112:E113"/>
    <mergeCell ref="F78:F79"/>
    <mergeCell ref="C204:C205"/>
    <mergeCell ref="E204:E205"/>
    <mergeCell ref="A98:A99"/>
    <mergeCell ref="C154:C155"/>
    <mergeCell ref="A212:A213"/>
    <mergeCell ref="F142:F143"/>
    <mergeCell ref="C212:C213"/>
    <mergeCell ref="F202:F203"/>
    <mergeCell ref="B180:B181"/>
    <mergeCell ref="C206:C207"/>
    <mergeCell ref="G176:G177"/>
    <mergeCell ref="G170:G171"/>
    <mergeCell ref="E206:E207"/>
    <mergeCell ref="B96:B97"/>
    <mergeCell ref="D96:D97"/>
    <mergeCell ref="F80:F81"/>
    <mergeCell ref="C156:C157"/>
    <mergeCell ref="B46:B47"/>
    <mergeCell ref="E156:E157"/>
    <mergeCell ref="D46:D47"/>
    <mergeCell ref="E34:E35"/>
    <mergeCell ref="B182:B183"/>
    <mergeCell ref="B38:B39"/>
    <mergeCell ref="G172:G173"/>
    <mergeCell ref="A66:A67"/>
    <mergeCell ref="G34:G35"/>
    <mergeCell ref="G174:G175"/>
    <mergeCell ref="B48:B49"/>
    <mergeCell ref="D48:D49"/>
    <mergeCell ref="D104:D105"/>
    <mergeCell ref="D4:D5"/>
    <mergeCell ref="A108:A109"/>
    <mergeCell ref="F104:F105"/>
    <mergeCell ref="C130:C131"/>
    <mergeCell ref="A214:A215"/>
    <mergeCell ref="A18:A19"/>
    <mergeCell ref="D106:D107"/>
    <mergeCell ref="F106:F107"/>
    <mergeCell ref="A32:A33"/>
    <mergeCell ref="C232:C233"/>
    <mergeCell ref="D152:D153"/>
    <mergeCell ref="A72:A73"/>
    <mergeCell ref="E36:E37"/>
    <mergeCell ref="C72:C73"/>
    <mergeCell ref="B206:B207"/>
    <mergeCell ref="F170:F171"/>
    <mergeCell ref="A96:A97"/>
    <mergeCell ref="C96:C97"/>
    <mergeCell ref="G54:G55"/>
    <mergeCell ref="D1:F1"/>
    <mergeCell ref="F210:F211"/>
    <mergeCell ref="E100:E101"/>
    <mergeCell ref="C136:C137"/>
    <mergeCell ref="G100:G101"/>
    <mergeCell ref="D226:D227"/>
    <mergeCell ref="E136:E137"/>
    <mergeCell ref="B66:B67"/>
    <mergeCell ref="E102:E103"/>
    <mergeCell ref="C200:C201"/>
    <mergeCell ref="G102:G103"/>
    <mergeCell ref="G158:G159"/>
    <mergeCell ref="D228:D229"/>
    <mergeCell ref="E194:E195"/>
    <mergeCell ref="D84:D85"/>
    <mergeCell ref="D22:D23"/>
    <mergeCell ref="F84:F85"/>
    <mergeCell ref="G194:G195"/>
    <mergeCell ref="G160:G161"/>
    <mergeCell ref="B86:B87"/>
    <mergeCell ref="D86:D87"/>
    <mergeCell ref="F86:F87"/>
    <mergeCell ref="A16:A17"/>
    <mergeCell ref="C16:C17"/>
    <mergeCell ref="D36:D37"/>
    <mergeCell ref="A162:A163"/>
    <mergeCell ref="F30:F31"/>
    <mergeCell ref="D150:D151"/>
    <mergeCell ref="F150:F151"/>
    <mergeCell ref="F144:F145"/>
    <mergeCell ref="C214:C215"/>
    <mergeCell ref="A164:A165"/>
    <mergeCell ref="C226:C227"/>
    <mergeCell ref="F94:F95"/>
    <mergeCell ref="C164:C165"/>
    <mergeCell ref="E220:E221"/>
    <mergeCell ref="B246:B247"/>
    <mergeCell ref="C228:C229"/>
    <mergeCell ref="A22:A23"/>
    <mergeCell ref="C222:C223"/>
    <mergeCell ref="B112:B113"/>
    <mergeCell ref="E222:E223"/>
    <mergeCell ref="D112:D113"/>
    <mergeCell ref="G222:G223"/>
    <mergeCell ref="A116:A117"/>
    <mergeCell ref="F226:F227"/>
    <mergeCell ref="E50:E51"/>
    <mergeCell ref="C8:C9"/>
    <mergeCell ref="C86:C87"/>
    <mergeCell ref="B54:B55"/>
    <mergeCell ref="B114:B115"/>
    <mergeCell ref="D176:D177"/>
    <mergeCell ref="D54:D55"/>
    <mergeCell ref="D114:D115"/>
    <mergeCell ref="B212:B213"/>
    <mergeCell ref="A180:A181"/>
    <mergeCell ref="F176:F177"/>
    <mergeCell ref="G44:G45"/>
    <mergeCell ref="B56:B57"/>
    <mergeCell ref="D178:D179"/>
    <mergeCell ref="D34:D35"/>
    <mergeCell ref="C6:C7"/>
    <mergeCell ref="B214:B215"/>
    <mergeCell ref="F234:F235"/>
    <mergeCell ref="A182:A183"/>
    <mergeCell ref="F178:F179"/>
    <mergeCell ref="D172:D173"/>
    <mergeCell ref="F172:F173"/>
    <mergeCell ref="F34:F35"/>
    <mergeCell ref="C98:C99"/>
    <mergeCell ref="A48:A49"/>
    <mergeCell ref="A246:A247"/>
    <mergeCell ref="C4:C5"/>
    <mergeCell ref="F236:F237"/>
    <mergeCell ref="F36:F37"/>
    <mergeCell ref="E4:E5"/>
    <mergeCell ref="E64:E65"/>
    <mergeCell ref="C162:C163"/>
    <mergeCell ref="B130:B131"/>
    <mergeCell ref="C112:C113"/>
    <mergeCell ref="F2:F3"/>
    <mergeCell ref="E128:E129"/>
    <mergeCell ref="B132:B133"/>
    <mergeCell ref="E226:E227"/>
    <mergeCell ref="C152:C153"/>
    <mergeCell ref="G128:G129"/>
    <mergeCell ref="G220:G221"/>
    <mergeCell ref="E170:E171"/>
    <mergeCell ref="B196:B197"/>
    <mergeCell ref="G192:G193"/>
    <mergeCell ref="D196:D197"/>
    <mergeCell ref="G210:G211"/>
    <mergeCell ref="F100:F101"/>
    <mergeCell ref="E172:E173"/>
    <mergeCell ref="G234:G235"/>
    <mergeCell ref="B198:B199"/>
    <mergeCell ref="F152:F153"/>
    <mergeCell ref="C82:C83"/>
    <mergeCell ref="D102:D103"/>
    <mergeCell ref="F102:F103"/>
    <mergeCell ref="A130:A131"/>
    <mergeCell ref="E228:E229"/>
    <mergeCell ref="A68:A69"/>
    <mergeCell ref="B158:B159"/>
    <mergeCell ref="E146:E147"/>
    <mergeCell ref="B202:B203"/>
    <mergeCell ref="F166:F167"/>
    <mergeCell ref="B160:B161"/>
    <mergeCell ref="B16:B17"/>
    <mergeCell ref="C58:C59"/>
    <mergeCell ref="F168:F169"/>
    <mergeCell ref="E58:E59"/>
    <mergeCell ref="F24:F25"/>
    <mergeCell ref="E52:E53"/>
    <mergeCell ref="B122:B123"/>
    <mergeCell ref="G52:G53"/>
    <mergeCell ref="E150:E151"/>
    <mergeCell ref="B224:B225"/>
    <mergeCell ref="B18:B19"/>
    <mergeCell ref="E60:E61"/>
    <mergeCell ref="G116:G117"/>
    <mergeCell ref="D186:D187"/>
    <mergeCell ref="D242:D243"/>
    <mergeCell ref="E152:E153"/>
    <mergeCell ref="F242:F243"/>
    <mergeCell ref="B82:B83"/>
    <mergeCell ref="C246:C247"/>
    <mergeCell ref="B228:B229"/>
    <mergeCell ref="E118:E119"/>
    <mergeCell ref="G180:G181"/>
    <mergeCell ref="G118:G119"/>
    <mergeCell ref="E216:E217"/>
    <mergeCell ref="A12:A13"/>
    <mergeCell ref="D244:D245"/>
    <mergeCell ref="F184:F185"/>
    <mergeCell ref="C12:C13"/>
    <mergeCell ref="A248:A249"/>
    <mergeCell ref="F244:F245"/>
    <mergeCell ref="F8:F9"/>
    <mergeCell ref="F50:F51"/>
    <mergeCell ref="C176:C177"/>
    <mergeCell ref="A14:A15"/>
    <mergeCell ref="E176:E177"/>
    <mergeCell ref="E114:E115"/>
    <mergeCell ref="C70:C71"/>
    <mergeCell ref="E70:E71"/>
    <mergeCell ref="A122:A123"/>
    <mergeCell ref="F52:F53"/>
    <mergeCell ref="C122:C123"/>
    <mergeCell ref="C178:C179"/>
    <mergeCell ref="B146:B147"/>
    <mergeCell ref="E80:E81"/>
    <mergeCell ref="E178:E179"/>
    <mergeCell ref="C78:C79"/>
    <mergeCell ref="E134:E135"/>
    <mergeCell ref="B204:B205"/>
    <mergeCell ref="G134:G135"/>
    <mergeCell ref="E144:E145"/>
    <mergeCell ref="G144:G145"/>
    <mergeCell ref="E242:E243"/>
    <mergeCell ref="A38:A39"/>
    <mergeCell ref="B4:B5"/>
    <mergeCell ref="G242:G243"/>
    <mergeCell ref="C38:C39"/>
    <mergeCell ref="G236:G237"/>
    <mergeCell ref="B110:B111"/>
    <mergeCell ref="D110:D111"/>
    <mergeCell ref="G208:G209"/>
    <mergeCell ref="E244:E245"/>
    <mergeCell ref="B72:B73"/>
    <mergeCell ref="A40:A41"/>
    <mergeCell ref="B248:B249"/>
    <mergeCell ref="A138:A139"/>
    <mergeCell ref="D128:D129"/>
    <mergeCell ref="G2:G3"/>
    <mergeCell ref="A132:A133"/>
    <mergeCell ref="F128:F129"/>
    <mergeCell ref="D174:D175"/>
    <mergeCell ref="F174:F175"/>
    <mergeCell ref="B136:B137"/>
    <mergeCell ref="B70:B71"/>
    <mergeCell ref="G66:G67"/>
    <mergeCell ref="C104:C105"/>
    <mergeCell ref="D70:D71"/>
    <mergeCell ref="A196:A197"/>
    <mergeCell ref="F192:F193"/>
    <mergeCell ref="F70:F71"/>
    <mergeCell ref="C196:C197"/>
    <mergeCell ref="D238:D239"/>
    <mergeCell ref="A146:A147"/>
    <mergeCell ref="F238:F239"/>
    <mergeCell ref="F232:F233"/>
    <mergeCell ref="F32:F33"/>
    <mergeCell ref="D194:D195"/>
    <mergeCell ref="A198:A199"/>
    <mergeCell ref="F194:F195"/>
    <mergeCell ref="C198:C199"/>
    <mergeCell ref="B88:B89"/>
    <mergeCell ref="G124:G125"/>
    <mergeCell ref="G216:G217"/>
    <mergeCell ref="C110:C111"/>
    <mergeCell ref="D146:D147"/>
    <mergeCell ref="E110:E111"/>
    <mergeCell ref="E166:E167"/>
    <mergeCell ref="G188:G189"/>
    <mergeCell ref="G182:G183"/>
    <mergeCell ref="A160:A161"/>
    <mergeCell ref="B154:B155"/>
    <mergeCell ref="G218:G219"/>
    <mergeCell ref="E168:E169"/>
    <mergeCell ref="G230:G231"/>
    <mergeCell ref="D58:D59"/>
    <mergeCell ref="G168:G169"/>
    <mergeCell ref="A62:A63"/>
    <mergeCell ref="F58:F59"/>
    <mergeCell ref="G50:G51"/>
    <mergeCell ref="A34:A35"/>
    <mergeCell ref="A28:A29"/>
    <mergeCell ref="D60:D61"/>
    <mergeCell ref="C28:C29"/>
    <mergeCell ref="A186:A187"/>
    <mergeCell ref="F116:F117"/>
    <mergeCell ref="A64:A65"/>
    <mergeCell ref="C186:C187"/>
    <mergeCell ref="F60:F61"/>
    <mergeCell ref="A82:A83"/>
    <mergeCell ref="A30:A31"/>
    <mergeCell ref="D124:D125"/>
    <mergeCell ref="C92:C93"/>
    <mergeCell ref="C30:C31"/>
    <mergeCell ref="A128:A129"/>
    <mergeCell ref="E92:E93"/>
    <mergeCell ref="C128:C129"/>
    <mergeCell ref="C184:C185"/>
    <mergeCell ref="B156:B157"/>
    <mergeCell ref="F118:F119"/>
    <mergeCell ref="B12:B13"/>
    <mergeCell ref="E8:E9"/>
    <mergeCell ref="G8:G9"/>
    <mergeCell ref="C146:C147"/>
    <mergeCell ref="G244:G245"/>
    <mergeCell ref="C94:C95"/>
    <mergeCell ref="C10:C11"/>
    <mergeCell ref="B220:B221"/>
    <mergeCell ref="E10:E11"/>
    <mergeCell ref="B14:B15"/>
    <mergeCell ref="G10:G11"/>
    <mergeCell ref="E74:E75"/>
    <mergeCell ref="B78:B79"/>
    <mergeCell ref="G74:G75"/>
    <mergeCell ref="F42:F43"/>
    <mergeCell ref="D200:D201"/>
    <mergeCell ref="D134:D135"/>
    <mergeCell ref="D78:D79"/>
    <mergeCell ref="A204:A205"/>
    <mergeCell ref="F200:F201"/>
    <mergeCell ref="F134:F135"/>
    <mergeCell ref="G68:G69"/>
    <mergeCell ref="B28:B29"/>
    <mergeCell ref="G18:G19"/>
    <mergeCell ref="B186:B187"/>
    <mergeCell ref="E76:E77"/>
    <mergeCell ref="B142:B143"/>
    <mergeCell ref="B80:B81"/>
    <mergeCell ref="G76:G77"/>
    <mergeCell ref="D202:D203"/>
    <mergeCell ref="A206:A207"/>
    <mergeCell ref="D8:D9"/>
    <mergeCell ref="A156:A157"/>
    <mergeCell ref="B40:B41"/>
    <mergeCell ref="F48:F49"/>
    <mergeCell ref="G150:G151"/>
    <mergeCell ref="C174:C175"/>
    <mergeCell ref="D10:D11"/>
    <mergeCell ref="E174:E175"/>
    <mergeCell ref="B104:B105"/>
    <mergeCell ref="E192:E193"/>
    <mergeCell ref="A230:A231"/>
    <mergeCell ref="F112:F113"/>
    <mergeCell ref="E238:E239"/>
    <mergeCell ref="G238:G239"/>
    <mergeCell ref="F68:F69"/>
    <mergeCell ref="G232:G233"/>
    <mergeCell ref="B106:B107"/>
    <mergeCell ref="A232:A233"/>
    <mergeCell ref="A88:A89"/>
    <mergeCell ref="E240:E241"/>
    <mergeCell ref="G240:G241"/>
    <mergeCell ref="B170:B171"/>
    <mergeCell ref="F124:F125"/>
    <mergeCell ref="A54:A55"/>
    <mergeCell ref="C54:C55"/>
    <mergeCell ref="A90:A91"/>
    <mergeCell ref="G62:G63"/>
    <mergeCell ref="C100:C101"/>
    <mergeCell ref="D126:D127"/>
    <mergeCell ref="F188:F189"/>
    <mergeCell ref="F126:F127"/>
    <mergeCell ref="A56:A57"/>
    <mergeCell ref="C56:C57"/>
    <mergeCell ref="A154:A155"/>
    <mergeCell ref="G64:G65"/>
    <mergeCell ref="F190:F191"/>
    <mergeCell ref="C120:C121"/>
    <mergeCell ref="B84:B85"/>
    <mergeCell ref="E120:E121"/>
    <mergeCell ref="C60:C61"/>
    <mergeCell ref="G138:G139"/>
    <mergeCell ref="C32:C33"/>
    <mergeCell ref="D142:D143"/>
    <mergeCell ref="E26:E27"/>
    <mergeCell ref="B92:B93"/>
    <mergeCell ref="G88:G89"/>
    <mergeCell ref="B30:B31"/>
    <mergeCell ref="E124:E125"/>
    <mergeCell ref="G26:G27"/>
    <mergeCell ref="D30:D31"/>
    <mergeCell ref="B150:B151"/>
    <mergeCell ref="G140:G141"/>
    <mergeCell ref="D144:D145"/>
    <mergeCell ref="C34:C35"/>
    <mergeCell ref="C126:C127"/>
    <mergeCell ref="E188:E189"/>
    <mergeCell ref="B94:B95"/>
    <mergeCell ref="D216:D217"/>
    <mergeCell ref="E126:E127"/>
    <mergeCell ref="D94:D95"/>
    <mergeCell ref="A220:A221"/>
    <mergeCell ref="F216:F217"/>
    <mergeCell ref="G90:G91"/>
    <mergeCell ref="C220:C221"/>
    <mergeCell ref="F10:F11"/>
    <mergeCell ref="F208:F209"/>
    <mergeCell ref="D158:D159"/>
    <mergeCell ref="D218:D219"/>
    <mergeCell ref="A84:A85"/>
    <mergeCell ref="A222:A223"/>
    <mergeCell ref="F218:F219"/>
    <mergeCell ref="A78:A79"/>
    <mergeCell ref="F74:F75"/>
    <mergeCell ref="C42:C43"/>
    <mergeCell ref="G42:G43"/>
    <mergeCell ref="E42:E43"/>
    <mergeCell ref="E200:E201"/>
    <mergeCell ref="A50:A51"/>
    <mergeCell ref="C50:C51"/>
    <mergeCell ref="D76:D77"/>
    <mergeCell ref="F138:F139"/>
    <mergeCell ref="C44:C45"/>
    <mergeCell ref="B176:B177"/>
    <mergeCell ref="C142:C143"/>
    <mergeCell ref="A80:A81"/>
    <mergeCell ref="G166:G167"/>
    <mergeCell ref="C202:C203"/>
    <mergeCell ref="C80:C81"/>
    <mergeCell ref="E202:E203"/>
    <mergeCell ref="D170:D171"/>
    <mergeCell ref="F76:F77"/>
    <mergeCell ref="E44:E45"/>
    <mergeCell ref="G6:G7"/>
    <mergeCell ref="A144:A145"/>
    <mergeCell ref="F140:F141"/>
    <mergeCell ref="B178:B179"/>
    <mergeCell ref="B234:B235"/>
    <mergeCell ref="C144:C145"/>
    <mergeCell ref="B172:B173"/>
    <mergeCell ref="D234:D235"/>
    <mergeCell ref="E108:E109"/>
    <mergeCell ref="G108:G109"/>
    <mergeCell ref="B34:B35"/>
    <mergeCell ref="D28:D29"/>
    <mergeCell ref="G24:G25"/>
    <mergeCell ref="E32:E33"/>
    <mergeCell ref="A104:A105"/>
    <mergeCell ref="B36:B37"/>
    <mergeCell ref="A4:A5"/>
    <mergeCell ref="D236:D237"/>
    <mergeCell ref="D92:D93"/>
    <mergeCell ref="F92:F93"/>
    <mergeCell ref="E72:E73"/>
    <mergeCell ref="G72:G73"/>
    <mergeCell ref="D42:D43"/>
    <mergeCell ref="A112:A113"/>
    <mergeCell ref="A106:A107"/>
    <mergeCell ref="C106:C107"/>
    <mergeCell ref="A226:A227"/>
    <mergeCell ref="E184:E185"/>
    <mergeCell ref="D240:D241"/>
    <mergeCell ref="A170:A171"/>
    <mergeCell ref="C170:C171"/>
    <mergeCell ref="D6:D7"/>
    <mergeCell ref="F206:F207"/>
    <mergeCell ref="E96:E97"/>
    <mergeCell ref="F6:F7"/>
    <mergeCell ref="B100:B101"/>
    <mergeCell ref="A172:A173"/>
    <mergeCell ref="C172:C173"/>
    <mergeCell ref="B62:B63"/>
    <mergeCell ref="E98:E99"/>
    <mergeCell ref="B102:B103"/>
    <mergeCell ref="G98:G99"/>
    <mergeCell ref="E190:E191"/>
    <mergeCell ref="A228:A229"/>
    <mergeCell ref="G190:G191"/>
    <mergeCell ref="F158:F159"/>
    <mergeCell ref="B120:B121"/>
    <mergeCell ref="D120:D121"/>
    <mergeCell ref="B166:B167"/>
    <mergeCell ref="G162:G163"/>
    <mergeCell ref="D166:D167"/>
    <mergeCell ref="G156:G157"/>
    <mergeCell ref="D160:D161"/>
    <mergeCell ref="F160:F161"/>
    <mergeCell ref="G248:G249"/>
    <mergeCell ref="D184:D185"/>
    <mergeCell ref="A86:A87"/>
    <mergeCell ref="B24:B25"/>
    <mergeCell ref="G20:G21"/>
    <mergeCell ref="D224:D225"/>
    <mergeCell ref="D24:D25"/>
    <mergeCell ref="G14:G15"/>
    <mergeCell ref="F224:F225"/>
    <mergeCell ref="A150:A151"/>
    <mergeCell ref="C52:C53"/>
    <mergeCell ref="C150:C151"/>
    <mergeCell ref="A100:A101"/>
    <mergeCell ref="F90:F91"/>
    <mergeCell ref="D148:D149"/>
    <mergeCell ref="A152:A153"/>
    <mergeCell ref="F148:F149"/>
    <mergeCell ref="E116:E117"/>
    <mergeCell ref="F82:F83"/>
    <mergeCell ref="C208:C209"/>
    <mergeCell ref="E208:E209"/>
    <mergeCell ref="G32:G33"/>
    <mergeCell ref="C158:C159"/>
    <mergeCell ref="E218:E219"/>
    <mergeCell ref="B222:B223"/>
    <mergeCell ref="G96:G97"/>
    <mergeCell ref="E22:E23"/>
    <mergeCell ref="E210:E211"/>
    <mergeCell ref="D100:D101"/>
    <mergeCell ref="C160:C161"/>
    <mergeCell ref="B50:B51"/>
    <mergeCell ref="G46:G47"/>
    <mergeCell ref="E160:E161"/>
    <mergeCell ref="D50:D51"/>
    <mergeCell ref="G40:G41"/>
    <mergeCell ref="A176:A177"/>
    <mergeCell ref="D44:D45"/>
    <mergeCell ref="A114:A115"/>
    <mergeCell ref="F44:F45"/>
    <mergeCell ref="E48:E49"/>
    <mergeCell ref="B52:B53"/>
    <mergeCell ref="G48:G49"/>
    <mergeCell ref="D52:D53"/>
    <mergeCell ref="E140:E141"/>
    <mergeCell ref="D108:D109"/>
    <mergeCell ref="A178:A179"/>
    <mergeCell ref="F108:F109"/>
    <mergeCell ref="C234:C235"/>
    <mergeCell ref="C134:C135"/>
    <mergeCell ref="E234:E235"/>
    <mergeCell ref="F214:F215"/>
    <mergeCell ref="F18:F19"/>
    <mergeCell ref="A242:A243"/>
    <mergeCell ref="D32:D33"/>
    <mergeCell ref="C242:C243"/>
    <mergeCell ref="A236:A237"/>
    <mergeCell ref="C236:C237"/>
    <mergeCell ref="F26:F27"/>
    <mergeCell ref="E236:E237"/>
    <mergeCell ref="D72:D73"/>
    <mergeCell ref="F72:F73"/>
    <mergeCell ref="A2:A3"/>
    <mergeCell ref="C2:C3"/>
    <mergeCell ref="E2:E3"/>
    <mergeCell ref="B128:B129"/>
    <mergeCell ref="B226:B227"/>
    <mergeCell ref="F136:F137"/>
    <mergeCell ref="C66:C67"/>
    <mergeCell ref="B192:B193"/>
    <mergeCell ref="D192:D193"/>
    <mergeCell ref="A20:A21"/>
    <mergeCell ref="G84:G85"/>
    <mergeCell ref="G22:G23"/>
    <mergeCell ref="B194:B195"/>
    <mergeCell ref="D38:D39"/>
    <mergeCell ref="D98:D99"/>
    <mergeCell ref="A102:A103"/>
    <mergeCell ref="F98:F99"/>
    <mergeCell ref="G86:G87"/>
    <mergeCell ref="B236:B237"/>
    <mergeCell ref="F212:F213"/>
    <mergeCell ref="F16:F17"/>
    <mergeCell ref="G36:G37"/>
    <mergeCell ref="D40:D41"/>
    <mergeCell ref="E142:E143"/>
    <mergeCell ref="A110:A111"/>
    <mergeCell ref="A166:A167"/>
    <mergeCell ref="F162:F163"/>
    <mergeCell ref="F40:F41"/>
    <mergeCell ref="C166:C167"/>
    <mergeCell ref="C218:C219"/>
    <mergeCell ref="A168:A169"/>
    <mergeCell ref="C230:C231"/>
    <mergeCell ref="F164:F165"/>
    <mergeCell ref="C168:C169"/>
    <mergeCell ref="E230:E231"/>
    <mergeCell ref="B58:B59"/>
    <mergeCell ref="F20:F21"/>
    <mergeCell ref="E224:E225"/>
    <mergeCell ref="G224:G225"/>
    <mergeCell ref="A26:A27"/>
    <mergeCell ref="F22:F23"/>
    <mergeCell ref="B60:B61"/>
    <mergeCell ref="C148:C149"/>
    <mergeCell ref="B116:B117"/>
    <mergeCell ref="G112:G113"/>
    <mergeCell ref="E148:E149"/>
    <mergeCell ref="D116:D117"/>
    <mergeCell ref="G148:G149"/>
    <mergeCell ref="G204:G205"/>
    <mergeCell ref="E54:E55"/>
    <mergeCell ref="G114:G115"/>
    <mergeCell ref="A8:A9"/>
    <mergeCell ref="B118:B119"/>
    <mergeCell ref="E212:E213"/>
    <mergeCell ref="D180:D181"/>
    <mergeCell ref="D118:D119"/>
    <mergeCell ref="B216:B217"/>
    <mergeCell ref="G212:G213"/>
    <mergeCell ref="A244:A245"/>
    <mergeCell ref="F240:F241"/>
    <mergeCell ref="G206:G207"/>
    <mergeCell ref="C244:C245"/>
    <mergeCell ref="F180:F181"/>
    <mergeCell ref="F96:F97"/>
    <mergeCell ref="F46:F47"/>
    <mergeCell ref="D182:D183"/>
    <mergeCell ref="A10:A11"/>
    <mergeCell ref="F182:F183"/>
    <mergeCell ref="E66:E67"/>
    <mergeCell ref="C102:C103"/>
    <mergeCell ref="A52:A53"/>
    <mergeCell ref="F4:F5"/>
    <mergeCell ref="C74:C75"/>
    <mergeCell ref="C68:C69"/>
    <mergeCell ref="E130:E131"/>
    <mergeCell ref="B200:B201"/>
    <mergeCell ref="B134:B135"/>
    <mergeCell ref="G130:G131"/>
    <mergeCell ref="E68:E69"/>
    <mergeCell ref="C18:C19"/>
    <mergeCell ref="C116:C117"/>
    <mergeCell ref="B144:B145"/>
    <mergeCell ref="B242:B243"/>
    <mergeCell ref="E132:E133"/>
    <mergeCell ref="G132:G133"/>
    <mergeCell ref="E82:E83"/>
    <mergeCell ref="B208:B209"/>
    <mergeCell ref="B8:B9"/>
    <mergeCell ref="D208:D209"/>
    <mergeCell ref="A36:A37"/>
    <mergeCell ref="B2:B3"/>
    <mergeCell ref="B244:B245"/>
    <mergeCell ref="D2:D3"/>
    <mergeCell ref="B210:B211"/>
    <mergeCell ref="A174:A175"/>
    <mergeCell ref="D210:D211"/>
    <mergeCell ref="D66:D67"/>
    <mergeCell ref="A136:A137"/>
    <mergeCell ref="A192:A193"/>
    <mergeCell ref="F66:F67"/>
    <mergeCell ref="E94:E95"/>
    <mergeCell ref="C192:C193"/>
    <mergeCell ref="A238:A239"/>
    <mergeCell ref="G200:G201"/>
    <mergeCell ref="C238:C239"/>
    <mergeCell ref="F228:F229"/>
    <mergeCell ref="D130:D131"/>
    <mergeCell ref="B68:B69"/>
    <mergeCell ref="D68:D69"/>
    <mergeCell ref="A134:A135"/>
    <mergeCell ref="E232:E233"/>
    <mergeCell ref="A194:A195"/>
    <mergeCell ref="E158:E159"/>
    <mergeCell ref="C194:C195"/>
    <mergeCell ref="A240:A241"/>
    <mergeCell ref="C240:C241"/>
    <mergeCell ref="B124:B125"/>
    <mergeCell ref="E16:E17"/>
    <mergeCell ref="G16:G17"/>
    <mergeCell ref="C62:C63"/>
    <mergeCell ref="E162:E163"/>
    <mergeCell ref="E62:E63"/>
    <mergeCell ref="B188:B189"/>
    <mergeCell ref="E56:E57"/>
    <mergeCell ref="B126:B127"/>
    <mergeCell ref="D188:D189"/>
    <mergeCell ref="G56:G57"/>
    <mergeCell ref="E214:E215"/>
    <mergeCell ref="E18:E19"/>
    <mergeCell ref="B218:B219"/>
    <mergeCell ref="G214:G215"/>
    <mergeCell ref="C64:C65"/>
    <mergeCell ref="E164:E165"/>
    <mergeCell ref="G226:G227"/>
    <mergeCell ref="G164:G165"/>
    <mergeCell ref="A58:A59"/>
    <mergeCell ref="B190:B191"/>
    <mergeCell ref="G120:G121"/>
    <mergeCell ref="D190:D191"/>
    <mergeCell ref="D246:D247"/>
    <mergeCell ref="F246:F247"/>
    <mergeCell ref="A24:A25"/>
    <mergeCell ref="B232:B233"/>
    <mergeCell ref="G228:G229"/>
    <mergeCell ref="G184:G185"/>
    <mergeCell ref="A60:A61"/>
    <mergeCell ref="F12:F13"/>
    <mergeCell ref="D248:D249"/>
    <mergeCell ref="F248:F249"/>
    <mergeCell ref="E138:E139"/>
    <mergeCell ref="F196:F197"/>
    <mergeCell ref="D198:D199"/>
    <mergeCell ref="C88:C89"/>
    <mergeCell ref="C26:C27"/>
    <mergeCell ref="A124:A125"/>
    <mergeCell ref="C124:C125"/>
    <mergeCell ref="C180:C181"/>
    <mergeCell ref="A118:A119"/>
    <mergeCell ref="C118:C119"/>
    <mergeCell ref="E180:E181"/>
    <mergeCell ref="F114:F115"/>
    <mergeCell ref="G196:G197"/>
    <mergeCell ref="D122:D123"/>
    <mergeCell ref="C90:C91"/>
    <mergeCell ref="D56:D57"/>
    <mergeCell ref="A126:A127"/>
    <mergeCell ref="E90:E91"/>
    <mergeCell ref="F56:F57"/>
    <mergeCell ref="D214:D215"/>
    <mergeCell ref="C182:C183"/>
    <mergeCell ref="G146:G147"/>
    <mergeCell ref="E182:E183"/>
    <mergeCell ref="B10:B11"/>
    <mergeCell ref="E6:E7"/>
    <mergeCell ref="E246:E247"/>
    <mergeCell ref="B74:B75"/>
    <mergeCell ref="A42:A43"/>
    <mergeCell ref="D74:D75"/>
    <mergeCell ref="F38:F39"/>
    <mergeCell ref="G4:G5"/>
    <mergeCell ref="A200:A201"/>
    <mergeCell ref="F130:F131"/>
    <mergeCell ref="G110:G111"/>
    <mergeCell ref="B138:B139"/>
    <mergeCell ref="G202:G203"/>
    <mergeCell ref="D138:D139"/>
    <mergeCell ref="B76:B77"/>
    <mergeCell ref="A44:A45"/>
    <mergeCell ref="A142:A143"/>
    <mergeCell ref="D132:D133"/>
    <mergeCell ref="A202:A203"/>
    <mergeCell ref="F132:F133"/>
    <mergeCell ref="D82:D83"/>
    <mergeCell ref="C108:C109"/>
    <mergeCell ref="C24:C25"/>
    <mergeCell ref="E24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2026-04-04T10:20:19Z</dcterms:created>
  <dcterms:modified xsi:type="dcterms:W3CDTF">2026-04-04T10:20:21Z</dcterms:modified>
</cp:coreProperties>
</file>